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64b97d70a449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Notes" sheetId="1" r:id="Rac216f6367b94747"/>
    <x:sheet xmlns:r="http://schemas.openxmlformats.org/officeDocument/2006/relationships" name="Vendor Master" sheetId="2" r:id="R1b521f2743dc4cf7"/>
    <x:sheet xmlns:r="http://schemas.openxmlformats.org/officeDocument/2006/relationships" name="Invoice Register" sheetId="3" r:id="Rdda4f7b8c5fb4a39"/>
    <x:sheet xmlns:r="http://schemas.openxmlformats.org/officeDocument/2006/relationships" name="AP Aging" sheetId="4" r:id="Rbc9943cffd1e41a9"/>
    <x:sheet xmlns:r="http://schemas.openxmlformats.org/officeDocument/2006/relationships" name="Vendor Reconciliation" sheetId="5" r:id="R892b93a8854b40eb"/>
    <x:sheet xmlns:r="http://schemas.openxmlformats.org/officeDocument/2006/relationships" name="Dashboard" sheetId="6" r:id="R36205175268e4c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/dd/yyyy"/>
    <x:numFmt numFmtId="201" formatCode="$#,##0.00;[Red]-$#,##0.00"/>
    <x:numFmt numFmtId="202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25313C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3349"/>
      </x:patternFill>
    </x:fill>
    <x:fill>
      <x:patternFill patternType="solid">
        <x:fgColor rgb="FFF5F1E8"/>
      </x:patternFill>
    </x:fill>
    <x:fill>
      <x:patternFill patternType="solid">
        <x:fgColor rgb="FF476A8A"/>
      </x:patternFill>
    </x:fill>
    <x:fill>
      <x:patternFill patternType="solid">
        <x:fgColor rgb="FF283618"/>
      </x:patternFill>
    </x:fill>
  </x:fills>
  <x:borders count="4">
    <x:border/>
    <x:border/>
    <x:border>
      <x:top/>
    </x:border>
    <x:border>
      <x:bottom/>
    </x:border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201" fontId="4" fillId="3" borderId="0" xfId="0" applyNumberFormat="1" applyFont="1" applyFill="1" applyBorder="1"/>
    <x:xf numFmtId="201" fontId="4" fillId="3" borderId="1" xfId="0" applyNumberFormat="1" applyFont="1" applyFill="1" applyBorder="1"/>
    <x:xf numFmtId="0" fontId="0" fillId="0" borderId="0" xfId="0" applyNumberFormat="1" applyFont="1" applyFill="1" applyBorder="1"/>
    <x:xf numFmtId="202" fontId="0" fillId="0" borderId="0" xfId="0" applyNumberFormat="1" applyFont="1" applyFill="1" applyBorder="1"/>
    <x:xf numFmtId="202" fontId="4" fillId="3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0" fillId="0" xfId="0" applyNumberFormat="1" applyFont="1" applyFill="1" applyBorder="0"/>
    <x:xf numFmtId="202" fontId="0" fillId="0" xfId="0" applyNumberFormat="1" applyFont="1" applyFill="1" applyBorder="0"/>
    <x:xf numFmtId="201" fontId="0" fillId="0" xfId="0" applyNumberFormat="1" applyFont="1" applyFill="1" applyBorder="0"/>
    <x:xf numFmtId="0" fontId="0" fillId="0" borderId="3" xfId="0" applyNumberFormat="1" applyFont="1" applyFill="1" applyBorder="1"/>
    <x:xf numFmtId="202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201" fontId="0" fillId="0" borderId="2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202" fontId="0" fillId="0" xfId="0" applyNumberFormat="1" applyFont="1" applyFill="1" applyBorder="0" applyAlignment="1">
      <x:alignment wrapText="1"/>
    </x:xf>
    <x:xf numFmtId="201" fontId="0" fillId="0" xfId="0" applyNumberFormat="1" applyFont="1" applyFill="1" applyBorder="0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2" fontId="0" fillId="0" borderId="3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</x:font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ont>
        <x:b/>
      </x:font>
      <x:fill>
        <x:patternFill>
          <x:bgColor rgb="FFFCE5CD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b/>
      </x:font>
      <x:fill>
        <x:patternFill patternType="solid">
          <x:bgColor rgb="FFDDE5D1"/>
        </x:patternFill>
      </x:fill>
    </x:dxf>
    <x:dxf>
      <x:font>
        <x:b/>
      </x:font>
      <x:fill>
        <x:patternFill patternType="solid">
          <x:bgColor rgb="FFF6E2C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4e0e8211e04b4e" /><Relationship Type="http://schemas.openxmlformats.org/officeDocument/2006/relationships/theme" Target="/xl/theme/theme1.xml" Id="R72bea488b44e4e1d" /><Relationship Type="http://schemas.openxmlformats.org/officeDocument/2006/relationships/sharedStrings" Target="/xl/sharedStrings.xml" Id="R705f0f2bbd7b47b4" /><Relationship Type="http://schemas.openxmlformats.org/officeDocument/2006/relationships/worksheet" Target="/xl/worksheets/sheet1.xml" Id="Rac216f6367b94747" /><Relationship Type="http://schemas.openxmlformats.org/officeDocument/2006/relationships/worksheet" Target="/xl/worksheets/sheet2.xml" Id="R1b521f2743dc4cf7" /><Relationship Type="http://schemas.openxmlformats.org/officeDocument/2006/relationships/worksheet" Target="/xl/worksheets/sheet3.xml" Id="Rdda4f7b8c5fb4a39" /><Relationship Type="http://schemas.openxmlformats.org/officeDocument/2006/relationships/worksheet" Target="/xl/worksheets/sheet4.xml" Id="Rbc9943cffd1e41a9" /><Relationship Type="http://schemas.openxmlformats.org/officeDocument/2006/relationships/worksheet" Target="/xl/worksheets/sheet5.xml" Id="R892b93a8854b40eb" /><Relationship Type="http://schemas.openxmlformats.org/officeDocument/2006/relationships/worksheet" Target="/xl/worksheets/sheet6.xml" Id="R36205175268e4ce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fb20ba3e1844f3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Outstanding AP by Vendor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Current</c:v>
          </c:tx>
          <c:cat>
            <c:strRef>
              <c:f>'AP Aging'!$A$4:$A$11</c:f>
              <c:strCache>
                <c:ptCount val="0"/>
              </c:strCache>
            </c:strRef>
          </c:cat>
          <c:val>
            <c:numRef>
              <c:f>'AP Aging'!$B$4:$B$11</c:f>
              <c:numCache>
                <c:formatCode>$#,##0.00;[Red]-$#,##0.00</c:formatCode>
                <c:ptCount val="0"/>
              </c:numCache>
            </c:numRef>
          </c:val>
        </c:ser>
        <c:ser>
          <c:idx val="1"/>
          <c:order val="1"/>
          <c:tx>
            <c:v>1–30 Days</c:v>
          </c:tx>
          <c:cat>
            <c:strRef>
              <c:f>'AP Aging'!$A$4:$A$11</c:f>
              <c:strCache>
                <c:ptCount val="0"/>
              </c:strCache>
            </c:strRef>
          </c:cat>
          <c:val>
            <c:numRef>
              <c:f>'AP Aging'!$C$4:$C$11</c:f>
              <c:numCache>
                <c:formatCode>$#,##0.00;[Red]-$#,##0.00</c:formatCode>
                <c:ptCount val="0"/>
              </c:numCache>
            </c:numRef>
          </c:val>
        </c:ser>
        <c:ser>
          <c:idx val="2"/>
          <c:order val="2"/>
          <c:tx>
            <c:v>31–60 Days</c:v>
          </c:tx>
          <c:cat>
            <c:strRef>
              <c:f>'AP Aging'!$A$4:$A$11</c:f>
              <c:strCache>
                <c:ptCount val="0"/>
              </c:strCache>
            </c:strRef>
          </c:cat>
          <c:val>
            <c:numRef>
              <c:f>'AP Aging'!$D$4:$D$11</c:f>
              <c:numCache>
                <c:formatCode>$#,##0.00;[Red]-$#,##0.00</c:formatCode>
                <c:ptCount val="0"/>
              </c:numCache>
            </c:numRef>
          </c:val>
        </c:ser>
        <c:ser>
          <c:idx val="3"/>
          <c:order val="3"/>
          <c:tx>
            <c:v>61+ Days</c:v>
          </c:tx>
          <c:cat>
            <c:strRef>
              <c:f>'AP Aging'!$A$4:$A$11</c:f>
              <c:strCache>
                <c:ptCount val="0"/>
              </c:strCache>
            </c:strRef>
          </c:cat>
          <c:val>
            <c:numRef>
              <c:f>'AP Aging'!$E$4:$E$11</c:f>
              <c:numCache>
                <c:formatCode>$#,##0.00;[Red]-$#,##0.00</c:formatCode>
                <c:ptCount val="0"/>
              </c:numCache>
            </c:numRef>
          </c:val>
        </c:ser>
        <c:ser>
          <c:idx val="4"/>
          <c:order val="4"/>
          <c:tx>
            <c:v>Total Outstanding</c:v>
          </c:tx>
          <c:cat>
            <c:strRef>
              <c:f>'AP Aging'!$A$4:$A$11</c:f>
              <c:strCache>
                <c:ptCount val="0"/>
              </c:strCache>
            </c:strRef>
          </c:cat>
          <c:val>
            <c:numRef>
              <c:f>'AP Aging'!$F$4:$F$11</c:f>
              <c:numCache>
                <c:formatCode>$#,##0.00;[Red]-$#,##0.00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fb20ba3e1844f3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9e0928c6b3914fa2" /></Relationships>
</file>

<file path=xl/worksheets/sheet1.xml><?xml version="1.0" encoding="utf-8"?>
<x:worksheet xmlns:x="http://schemas.openxmlformats.org/spreadsheetml/2006/main">
  <x:sheetFormatPr defaultRowHeight="15"/>
  <x:cols>
    <x:col min="2" max="2" width="24" hidden="0" customWidth="1"/>
    <x:col min="3" max="3" width="70" hidden="0" customWidth="1"/>
  </x:cols>
  <x:sheetData>
    <x:row r="2" ht="28" customHeight="1">
      <x:c r="B2" s="4" t="str">
        <x:v>Law Firm AP Operations | Simulated Portfolio Case Study</x:v>
      </x:c>
    </x:row>
    <x:row r="4">
      <x:c r="B4" s="9" t="str">
        <x:v>Portfolio Project</x:v>
      </x:c>
      <x:c r="C4" s="12" t="str">
        <x:v>Law Firm AP Reconciliation &amp; Exception Audit</x:v>
      </x:c>
    </x:row>
    <x:row r="5">
      <x:c r="B5" s="9" t="str">
        <x:v>Business</x:v>
      </x:c>
      <x:c r="C5" s="12" t="str">
        <x:v>Harbor &amp; Vale Legal Group (fictional)</x:v>
      </x:c>
    </x:row>
    <x:row r="6">
      <x:c r="B6" s="9" t="str">
        <x:v>Period</x:v>
      </x:c>
      <x:c r="C6" s="12" t="str">
        <x:v>April–June 2026</x:v>
      </x:c>
    </x:row>
    <x:row r="7">
      <x:c r="B7" s="9" t="str">
        <x:v>Purpose</x:v>
      </x:c>
      <x:c r="C7" s="12" t="str">
        <x:v>Demonstrate AP invoice review, duplicate detection, approval controls, payment status tracking, vendor reconciliation, and aging analysis.</x:v>
      </x:c>
    </x:row>
    <x:row r="8">
      <x:c r="B8" s="9" t="str">
        <x:v>Dataset</x:v>
      </x:c>
      <x:c r="C8" s="12" t="str">
        <x:v>72 simulated vendor invoices across legal research, facilities, technology, contractors, travel, and office vendors.</x:v>
      </x:c>
    </x:row>
    <x:row r="9">
      <x:c r="B9" s="9" t="str">
        <x:v>Work Completed</x:v>
      </x:c>
      <x:c r="C9" s="12" t="str">
        <x:v>Built an invoice register, automated exception flags, AP aging, vendor statement reconciliation, payment register, and management dashboard.</x:v>
      </x:c>
    </x:row>
    <x:row r="10">
      <x:c r="B10" s="9" t="str">
        <x:v>Key Controls</x:v>
      </x:c>
      <x:c r="C10" s="12" t="str">
        <x:v>Duplicate invoice test; missing approval test; overdue test; vendor mismatch test; amount variance test.</x:v>
      </x:c>
    </x:row>
    <x:row r="11">
      <x:c r="B11" s="9" t="str">
        <x:v>Disclosure</x:v>
      </x:c>
      <x:c r="C11" s="12" t="str">
        <x:v>All company names, invoices, vendors, payments, and results are simulated for portfolio demonstration.</x:v>
      </x:c>
    </x:row>
    <x:row r="12">
      <x:c r="B12" s="9" t="str">
        <x:v>Resume Bullet 1</x:v>
      </x:c>
      <x:c r="C12" s="12" t="str">
        <x:v>Built an Excel AP control workbook for 72 simulated invoices with automated duplicate, approval, aging, and vendor exception tests.</x:v>
      </x:c>
    </x:row>
    <x:row r="13">
      <x:c r="B13" s="9" t="str">
        <x:v>Resume Bullet 2</x:v>
      </x:c>
      <x:c r="C13" s="12" t="str">
        <x:v>Reconciled vendor balances and produced an AP aging dashboard showing outstanding liabilities and exception status.</x:v>
      </x:c>
    </x:row>
  </x:sheetData>
  <x:mergeCells>
    <x:mergeCell ref="B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6" customHeight="1">
      <x:c r="A1" s="18" t="str">
        <x:v>Vendor ID</x:v>
      </x:c>
      <x:c r="B1" s="18" t="str">
        <x:v>Vendor Name</x:v>
      </x:c>
      <x:c r="C1" s="18" t="str">
        <x:v>Category</x:v>
      </x:c>
      <x:c r="D1" s="18" t="str">
        <x:v>Payment Terms</x:v>
      </x:c>
      <x:c r="E1" s="18" t="str">
        <x:v>Active</x:v>
      </x:c>
      <x:c r="F1" s="18" t="str">
        <x:v>Expected Account</x:v>
      </x:c>
    </x:row>
    <x:row r="2">
      <x:c r="A2" t="str">
        <x:v>V001</x:v>
      </x:c>
      <x:c r="B2" t="str">
        <x:v>Lexis Research Services</x:v>
      </x:c>
      <x:c r="C2" t="str">
        <x:v>Legal Research</x:v>
      </x:c>
      <x:c r="D2" t="str">
        <x:v>Net 30</x:v>
      </x:c>
      <x:c r="E2" t="str">
        <x:v>Yes</x:v>
      </x:c>
      <x:c r="F2" t="str">
        <x:v>Research &amp; Subscriptions</x:v>
      </x:c>
    </x:row>
    <x:row r="3">
      <x:c r="A3" t="str">
        <x:v>V002</x:v>
      </x:c>
      <x:c r="B3" t="str">
        <x:v>Capitol Office Supply</x:v>
      </x:c>
      <x:c r="C3" t="str">
        <x:v>Office Supplies</x:v>
      </x:c>
      <x:c r="D3" t="str">
        <x:v>Net 30</x:v>
      </x:c>
      <x:c r="E3" t="str">
        <x:v>Yes</x:v>
      </x:c>
      <x:c r="F3" t="str">
        <x:v>Office Supplies</x:v>
      </x:c>
    </x:row>
    <x:row r="4">
      <x:c r="A4" t="str">
        <x:v>V003</x:v>
      </x:c>
      <x:c r="B4" t="str">
        <x:v>Harbor IT Solutions</x:v>
      </x:c>
      <x:c r="C4" t="str">
        <x:v>Technology</x:v>
      </x:c>
      <x:c r="D4" t="str">
        <x:v>Net 15</x:v>
      </x:c>
      <x:c r="E4" t="str">
        <x:v>Yes</x:v>
      </x:c>
      <x:c r="F4" t="str">
        <x:v>IT &amp; Software</x:v>
      </x:c>
    </x:row>
    <x:row r="5">
      <x:c r="A5" t="str">
        <x:v>V004</x:v>
      </x:c>
      <x:c r="B5" t="str">
        <x:v>Metro Court Reporting</x:v>
      </x:c>
      <x:c r="C5" t="str">
        <x:v>Contract Services</x:v>
      </x:c>
      <x:c r="D5" t="str">
        <x:v>Net 30</x:v>
      </x:c>
      <x:c r="E5" t="str">
        <x:v>Yes</x:v>
      </x:c>
      <x:c r="F5" t="str">
        <x:v>Outside Services</x:v>
      </x:c>
    </x:row>
    <x:row r="6">
      <x:c r="A6" t="str">
        <x:v>V005</x:v>
      </x:c>
      <x:c r="B6" t="str">
        <x:v>Bluebird Property Mgmt</x:v>
      </x:c>
      <x:c r="C6" t="str">
        <x:v>Facilities</x:v>
      </x:c>
      <x:c r="D6" t="str">
        <x:v>Net 30</x:v>
      </x:c>
      <x:c r="E6" t="str">
        <x:v>Yes</x:v>
      </x:c>
      <x:c r="F6" t="str">
        <x:v>Rent &amp; Facilities</x:v>
      </x:c>
    </x:row>
    <x:row r="7">
      <x:c r="A7" t="str">
        <x:v>V006</x:v>
      </x:c>
      <x:c r="B7" t="str">
        <x:v>Atlantic Travel Desk</x:v>
      </x:c>
      <x:c r="C7" t="str">
        <x:v>Travel</x:v>
      </x:c>
      <x:c r="D7" t="str">
        <x:v>Net 15</x:v>
      </x:c>
      <x:c r="E7" t="str">
        <x:v>Yes</x:v>
      </x:c>
      <x:c r="F7" t="str">
        <x:v>Travel</x:v>
      </x:c>
    </x:row>
    <x:row r="8">
      <x:c r="A8" t="str">
        <x:v>V007</x:v>
      </x:c>
      <x:c r="B8" t="str">
        <x:v>Evergreen Records</x:v>
      </x:c>
      <x:c r="C8" t="str">
        <x:v>Records Storage</x:v>
      </x:c>
      <x:c r="D8" t="str">
        <x:v>Net 30</x:v>
      </x:c>
      <x:c r="E8" t="str">
        <x:v>Yes</x:v>
      </x:c>
      <x:c r="F8" t="str">
        <x:v>Records &amp; Storage</x:v>
      </x:c>
    </x:row>
    <x:row r="9">
      <x:c r="A9" t="str">
        <x:v>V008</x:v>
      </x:c>
      <x:c r="B9" t="str">
        <x:v>Civic Print House</x:v>
      </x:c>
      <x:c r="C9" t="str">
        <x:v>Printing</x:v>
      </x:c>
      <x:c r="D9" t="str">
        <x:v>Net 30</x:v>
      </x:c>
      <x:c r="E9" t="str">
        <x:v>Yes</x:v>
      </x:c>
      <x:c r="F9" t="str">
        <x:v>Printing &amp; Copying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1" hidden="0" customWidth="1"/>
    <x:col min="3" max="3" width="24" hidden="0" customWidth="1"/>
    <x:col min="4" max="4" width="13" hidden="0" customWidth="1"/>
    <x:col min="5" max="5" width="13" hidden="0" customWidth="1"/>
    <x:col min="6" max="6" width="14" hidden="0" customWidth="1"/>
    <x:col min="7" max="7" width="14" hidden="0" customWidth="1"/>
    <x:col min="8" max="8" width="10" hidden="0" customWidth="1"/>
    <x:col min="9" max="9" width="13" hidden="0" customWidth="1"/>
    <x:col min="10" max="10" width="16" hidden="0" customWidth="1"/>
    <x:col min="11" max="11" width="22" hidden="0" customWidth="1"/>
    <x:col min="12" max="12" width="16" hidden="0" customWidth="1"/>
    <x:col min="13" max="13" width="18" hidden="0" customWidth="1"/>
    <x:col min="14" max="14" width="14" hidden="0" customWidth="1"/>
    <x:col min="15" max="15" width="16" hidden="0" customWidth="1"/>
    <x:col min="16" max="16" width="13" hidden="0" customWidth="1"/>
    <x:col min="17" max="17" width="12" hidden="0" customWidth="1"/>
  </x:cols>
  <x:sheetData>
    <x:row r="1" ht="26" customHeight="1">
      <x:c r="A1" s="18" t="str">
        <x:v>Invoice ID</x:v>
      </x:c>
      <x:c r="B1" s="18" t="str">
        <x:v>Vendor ID</x:v>
      </x:c>
      <x:c r="C1" s="18" t="str">
        <x:v>Vendor Name</x:v>
      </x:c>
      <x:c r="D1" s="18" t="str">
        <x:v>Invoice Date</x:v>
      </x:c>
      <x:c r="E1" s="18" t="str">
        <x:v>Due Date</x:v>
      </x:c>
      <x:c r="F1" s="18" t="str">
        <x:v>Amount</x:v>
      </x:c>
      <x:c r="G1" s="18" t="str">
        <x:v>Approval</x:v>
      </x:c>
      <x:c r="H1" s="18" t="str">
        <x:v>Paid?</x:v>
      </x:c>
      <x:c r="I1" s="18" t="str">
        <x:v>Payment Date</x:v>
      </x:c>
      <x:c r="J1" s="18" t="str">
        <x:v>PO / Matter Ref</x:v>
      </x:c>
      <x:c r="K1" s="18" t="str">
        <x:v>Entered Account</x:v>
      </x:c>
      <x:c r="L1" s="18" t="str">
        <x:v>Duplicate Flag</x:v>
      </x:c>
      <x:c r="M1" s="18" t="str">
        <x:v>Approval Flag</x:v>
      </x:c>
      <x:c r="N1" s="18" t="str">
        <x:v>Overdue Flag</x:v>
      </x:c>
      <x:c r="O1" s="18" t="str">
        <x:v>Vendor Flag</x:v>
      </x:c>
      <x:c r="P1" s="18" t="str">
        <x:v>Exception Count</x:v>
      </x:c>
      <x:c r="Q1" s="18" t="str">
        <x:v>Status</x:v>
      </x:c>
    </x:row>
    <x:row r="2">
      <x:c r="A2" t="str">
        <x:v>INV-1001</x:v>
      </x:c>
      <x:c r="B2" t="str">
        <x:v>V001</x:v>
      </x:c>
      <x:c r="C2" t="str">
        <x:v>Lexis Research Services</x:v>
      </x:c>
      <x:c r="D2" s="24" t="n">
        <x:v>46113</x:v>
      </x:c>
      <x:c r="E2" s="24" t="n">
        <x:v>46143</x:v>
      </x:c>
      <x:c r="F2" s="26" t="n">
        <x:v>144.3</x:v>
      </x:c>
      <x:c r="G2" t="str">
        <x:v>Approved</x:v>
      </x:c>
      <x:c r="H2" t="str">
        <x:v>Yes</x:v>
      </x:c>
      <x:c r="I2" s="24" t="n">
        <x:v>46133</x:v>
      </x:c>
      <x:c r="J2" t="str">
        <x:v>M-2400</x:v>
      </x:c>
      <x:c r="K2" t="str">
        <x:v>Research &amp; Subscriptions</x:v>
      </x:c>
      <x:c r="L2" s="12" t="str">
        <x:f>IF(COUNTIF($A$2:$A$73,A2)&gt;1,"DUPLICATE","")</x:f>
      </x:c>
      <x:c r="M2" s="12" t="str">
        <x:f>IF(G2&lt;&gt;"Approved","MISSING APPROVAL","")</x:f>
      </x:c>
      <x:c r="N2" s="12" t="str">
        <x:f>IF(AND(H2&lt;&gt;"Yes",E2&lt;DATE(2026,7,1)),"OVERDUE","")</x:f>
      </x:c>
      <x:c r="O2" s="12" t="str">
        <x:f>IF(COUNTIF('Vendor Master'!$A$2:$A$9,B2)=0,"INVALID VENDOR","")</x:f>
      </x:c>
      <x:c r="P2" s="12" t="n">
        <x:f>IF(L2&lt;&gt;"",1,0)+IF(M2&lt;&gt;"",1,0)+IF(N2&lt;&gt;"",1,0)+IF(O2&lt;&gt;"",1,0)</x:f>
        <x:v>0</x:v>
      </x:c>
      <x:c r="Q2" s="12" t="str">
        <x:f>IF(P2=0,"CLEAR","REVIEW")</x:f>
        <x:v>CLEAR</x:v>
      </x:c>
    </x:row>
    <x:row r="3">
      <x:c r="A3" t="str">
        <x:v>INV-1002</x:v>
      </x:c>
      <x:c r="B3" t="str">
        <x:v>V002</x:v>
      </x:c>
      <x:c r="C3" t="str">
        <x:v>Capitol Office Supply</x:v>
      </x:c>
      <x:c r="D3" s="24" t="n">
        <x:v>46117</x:v>
      </x:c>
      <x:c r="E3" s="24" t="n">
        <x:v>46147</x:v>
      </x:c>
      <x:c r="F3" s="26" t="n">
        <x:v>399</x:v>
      </x:c>
      <x:c r="G3" t="str">
        <x:v>Approved</x:v>
      </x:c>
      <x:c r="H3" t="str">
        <x:v>Yes</x:v>
      </x:c>
      <x:c r="I3" s="24" t="n">
        <x:v>46137</x:v>
      </x:c>
      <x:c r="J3" t="str">
        <x:v>M-2401</x:v>
      </x:c>
      <x:c r="K3" t="str">
        <x:v>Office Supplies</x:v>
      </x:c>
      <x:c r="L3" s="12" t="str">
        <x:f>IF(COUNTIF($A$2:$A$73,A3)&gt;1,"DUPLICATE","")</x:f>
      </x:c>
      <x:c r="M3" s="12" t="str">
        <x:f>IF(G3&lt;&gt;"Approved","MISSING APPROVAL","")</x:f>
      </x:c>
      <x:c r="N3" s="12" t="str">
        <x:f>IF(AND(H3&lt;&gt;"Yes",E3&lt;DATE(2026,7,1)),"OVERDUE","")</x:f>
      </x:c>
      <x:c r="O3" s="12" t="str">
        <x:f>IF(COUNTIF('Vendor Master'!$A$2:$A$9,B3)=0,"INVALID VENDOR","")</x:f>
      </x:c>
      <x:c r="P3" s="12" t="n">
        <x:f>IF(L3&lt;&gt;"",1,0)+IF(M3&lt;&gt;"",1,0)+IF(N3&lt;&gt;"",1,0)+IF(O3&lt;&gt;"",1,0)</x:f>
        <x:v>0</x:v>
      </x:c>
      <x:c r="Q3" s="12" t="str">
        <x:f>IF(P3=0,"CLEAR","REVIEW")</x:f>
        <x:v>CLEAR</x:v>
      </x:c>
    </x:row>
    <x:row r="4">
      <x:c r="A4" t="str">
        <x:v>INV-1003</x:v>
      </x:c>
      <x:c r="B4" t="str">
        <x:v>V003</x:v>
      </x:c>
      <x:c r="C4" t="str">
        <x:v>Harbor IT Solutions</x:v>
      </x:c>
      <x:c r="D4" s="24" t="n">
        <x:v>46121</x:v>
      </x:c>
      <x:c r="E4" s="24" t="n">
        <x:v>46136</x:v>
      </x:c>
      <x:c r="F4" s="26" t="n">
        <x:v>868</x:v>
      </x:c>
      <x:c r="G4" t="str">
        <x:v>Approved</x:v>
      </x:c>
      <x:c r="H4" t="str">
        <x:v>Yes</x:v>
      </x:c>
      <x:c r="I4" s="24" t="n">
        <x:v>46134</x:v>
      </x:c>
      <x:c r="J4" t="str">
        <x:v>M-2402</x:v>
      </x:c>
      <x:c r="K4" t="str">
        <x:v>IT &amp; Software</x:v>
      </x:c>
      <x:c r="L4" s="12" t="str">
        <x:f>IF(COUNTIF($A$2:$A$73,A4)&gt;1,"DUPLICATE","")</x:f>
      </x:c>
      <x:c r="M4" s="12" t="str">
        <x:f>IF(G4&lt;&gt;"Approved","MISSING APPROVAL","")</x:f>
      </x:c>
      <x:c r="N4" s="12" t="str">
        <x:f>IF(AND(H4&lt;&gt;"Yes",E4&lt;DATE(2026,7,1)),"OVERDUE","")</x:f>
      </x:c>
      <x:c r="O4" s="12" t="str">
        <x:f>IF(COUNTIF('Vendor Master'!$A$2:$A$9,B4)=0,"INVALID VENDOR","")</x:f>
      </x:c>
      <x:c r="P4" s="12" t="n">
        <x:f>IF(L4&lt;&gt;"",1,0)+IF(M4&lt;&gt;"",1,0)+IF(N4&lt;&gt;"",1,0)+IF(O4&lt;&gt;"",1,0)</x:f>
        <x:v>0</x:v>
      </x:c>
      <x:c r="Q4" s="12" t="str">
        <x:f>IF(P4=0,"CLEAR","REVIEW")</x:f>
        <x:v>CLEAR</x:v>
      </x:c>
    </x:row>
    <x:row r="5">
      <x:c r="A5" t="str">
        <x:v>INV-1004</x:v>
      </x:c>
      <x:c r="B5" t="str">
        <x:v>V004</x:v>
      </x:c>
      <x:c r="C5" t="str">
        <x:v>Metro Court Reporting</x:v>
      </x:c>
      <x:c r="D5" s="24" t="n">
        <x:v>46125</x:v>
      </x:c>
      <x:c r="E5" s="24" t="n">
        <x:v>46155</x:v>
      </x:c>
      <x:c r="F5" s="26" t="n">
        <x:v>1175</x:v>
      </x:c>
      <x:c r="G5" t="str">
        <x:v>Approved</x:v>
      </x:c>
      <x:c r="H5" t="str">
        <x:v>Yes</x:v>
      </x:c>
      <x:c r="I5" s="24" t="n">
        <x:v>46145</x:v>
      </x:c>
      <x:c r="J5" t="str">
        <x:v>M-2403</x:v>
      </x:c>
      <x:c r="K5" t="str">
        <x:v>Outside Services</x:v>
      </x:c>
      <x:c r="L5" s="12" t="str">
        <x:f>IF(COUNTIF($A$2:$A$73,A5)&gt;1,"DUPLICATE","")</x:f>
      </x:c>
      <x:c r="M5" s="12" t="str">
        <x:f>IF(G5&lt;&gt;"Approved","MISSING APPROVAL","")</x:f>
      </x:c>
      <x:c r="N5" s="12" t="str">
        <x:f>IF(AND(H5&lt;&gt;"Yes",E5&lt;DATE(2026,7,1)),"OVERDUE","")</x:f>
      </x:c>
      <x:c r="O5" s="12" t="str">
        <x:f>IF(COUNTIF('Vendor Master'!$A$2:$A$9,B5)=0,"INVALID VENDOR","")</x:f>
      </x:c>
      <x:c r="P5" s="12" t="n">
        <x:f>IF(L5&lt;&gt;"",1,0)+IF(M5&lt;&gt;"",1,0)+IF(N5&lt;&gt;"",1,0)+IF(O5&lt;&gt;"",1,0)</x:f>
        <x:v>0</x:v>
      </x:c>
      <x:c r="Q5" s="12" t="str">
        <x:f>IF(P5=0,"CLEAR","REVIEW")</x:f>
        <x:v>CLEAR</x:v>
      </x:c>
    </x:row>
    <x:row r="6">
      <x:c r="A6" t="str">
        <x:v>INV-1005</x:v>
      </x:c>
      <x:c r="B6" t="str">
        <x:v>V005</x:v>
      </x:c>
      <x:c r="C6" t="str">
        <x:v>Bluebird Property Mgmt</x:v>
      </x:c>
      <x:c r="D6" s="24" t="n">
        <x:v>46129</x:v>
      </x:c>
      <x:c r="E6" s="24" t="n">
        <x:v>46159</x:v>
      </x:c>
      <x:c r="F6" s="26" t="n">
        <x:v>2664</x:v>
      </x:c>
      <x:c r="G6" t="str">
        <x:v>Approved</x:v>
      </x:c>
      <x:c r="H6" t="str">
        <x:v>Yes</x:v>
      </x:c>
      <x:c r="I6" s="24" t="n">
        <x:v>46149</x:v>
      </x:c>
      <x:c r="J6" t="str">
        <x:v>M-2404</x:v>
      </x:c>
      <x:c r="K6" t="str">
        <x:v>Rent &amp; Facilities</x:v>
      </x:c>
      <x:c r="L6" s="12" t="str">
        <x:f>IF(COUNTIF($A$2:$A$73,A6)&gt;1,"DUPLICATE","")</x:f>
      </x:c>
      <x:c r="M6" s="12" t="str">
        <x:f>IF(G6&lt;&gt;"Approved","MISSING APPROVAL","")</x:f>
      </x:c>
      <x:c r="N6" s="12" t="str">
        <x:f>IF(AND(H6&lt;&gt;"Yes",E6&lt;DATE(2026,7,1)),"OVERDUE","")</x:f>
      </x:c>
      <x:c r="O6" s="12" t="str">
        <x:f>IF(COUNTIF('Vendor Master'!$A$2:$A$9,B6)=0,"INVALID VENDOR","")</x:f>
      </x:c>
      <x:c r="P6" s="12" t="n">
        <x:f>IF(L6&lt;&gt;"",1,0)+IF(M6&lt;&gt;"",1,0)+IF(N6&lt;&gt;"",1,0)+IF(O6&lt;&gt;"",1,0)</x:f>
        <x:v>0</x:v>
      </x:c>
      <x:c r="Q6" s="12" t="str">
        <x:f>IF(P6=0,"CLEAR","REVIEW")</x:f>
        <x:v>CLEAR</x:v>
      </x:c>
    </x:row>
    <x:row r="7">
      <x:c r="A7" t="str">
        <x:v>INV-1006</x:v>
      </x:c>
      <x:c r="B7" t="str">
        <x:v>V006</x:v>
      </x:c>
      <x:c r="C7" t="str">
        <x:v>Atlantic Travel Desk</x:v>
      </x:c>
      <x:c r="D7" s="24" t="n">
        <x:v>46133</x:v>
      </x:c>
      <x:c r="E7" s="24" t="n">
        <x:v>46148</x:v>
      </x:c>
      <x:c r="F7" s="26" t="n">
        <x:v>3348</x:v>
      </x:c>
      <x:c r="G7" t="str">
        <x:v>Approved</x:v>
      </x:c>
      <x:c r="H7" t="str">
        <x:v>Yes</x:v>
      </x:c>
      <x:c r="I7" s="24" t="n">
        <x:v>46146</x:v>
      </x:c>
      <x:c r="J7" t="str">
        <x:v>M-2405</x:v>
      </x:c>
      <x:c r="K7" t="str">
        <x:v>Travel</x:v>
      </x:c>
      <x:c r="L7" s="12" t="str">
        <x:f>IF(COUNTIF($A$2:$A$73,A7)&gt;1,"DUPLICATE","")</x:f>
      </x:c>
      <x:c r="M7" s="12" t="str">
        <x:f>IF(G7&lt;&gt;"Approved","MISSING APPROVAL","")</x:f>
      </x:c>
      <x:c r="N7" s="12" t="str">
        <x:f>IF(AND(H7&lt;&gt;"Yes",E7&lt;DATE(2026,7,1)),"OVERDUE","")</x:f>
      </x:c>
      <x:c r="O7" s="12" t="str">
        <x:f>IF(COUNTIF('Vendor Master'!$A$2:$A$9,B7)=0,"INVALID VENDOR","")</x:f>
      </x:c>
      <x:c r="P7" s="12" t="n">
        <x:f>IF(L7&lt;&gt;"",1,0)+IF(M7&lt;&gt;"",1,0)+IF(N7&lt;&gt;"",1,0)+IF(O7&lt;&gt;"",1,0)</x:f>
        <x:v>0</x:v>
      </x:c>
      <x:c r="Q7" s="12" t="str">
        <x:f>IF(P7=0,"CLEAR","REVIEW")</x:f>
        <x:v>CLEAR</x:v>
      </x:c>
    </x:row>
    <x:row r="8">
      <x:c r="A8" t="str">
        <x:v>INV-1007</x:v>
      </x:c>
      <x:c r="B8" t="str">
        <x:v>V007</x:v>
      </x:c>
      <x:c r="C8" t="str">
        <x:v>Evergreen Records</x:v>
      </x:c>
      <x:c r="D8" s="24" t="n">
        <x:v>46137</x:v>
      </x:c>
      <x:c r="E8" s="24" t="n">
        <x:v>46167</x:v>
      </x:c>
      <x:c r="F8" s="26" t="n">
        <x:v>5775</x:v>
      </x:c>
      <x:c r="G8" t="str">
        <x:v>Approved</x:v>
      </x:c>
      <x:c r="H8" t="str">
        <x:v>Yes</x:v>
      </x:c>
      <x:c r="I8" s="24" t="n">
        <x:v>46157</x:v>
      </x:c>
      <x:c r="J8" t="str">
        <x:v>M-2406</x:v>
      </x:c>
      <x:c r="K8" t="str">
        <x:v>Records &amp; Storage</x:v>
      </x:c>
      <x:c r="L8" s="12" t="str">
        <x:f>IF(COUNTIF($A$2:$A$73,A8)&gt;1,"DUPLICATE","")</x:f>
      </x:c>
      <x:c r="M8" s="12" t="str">
        <x:f>IF(G8&lt;&gt;"Approved","MISSING APPROVAL","")</x:f>
      </x:c>
      <x:c r="N8" s="12" t="str">
        <x:f>IF(AND(H8&lt;&gt;"Yes",E8&lt;DATE(2026,7,1)),"OVERDUE","")</x:f>
      </x:c>
      <x:c r="O8" s="12" t="str">
        <x:f>IF(COUNTIF('Vendor Master'!$A$2:$A$9,B8)=0,"INVALID VENDOR","")</x:f>
      </x:c>
      <x:c r="P8" s="12" t="n">
        <x:f>IF(L8&lt;&gt;"",1,0)+IF(M8&lt;&gt;"",1,0)+IF(N8&lt;&gt;"",1,0)+IF(O8&lt;&gt;"",1,0)</x:f>
        <x:v>0</x:v>
      </x:c>
      <x:c r="Q8" s="12" t="str">
        <x:f>IF(P8=0,"CLEAR","REVIEW")</x:f>
        <x:v>CLEAR</x:v>
      </x:c>
    </x:row>
    <x:row r="9">
      <x:c r="A9" t="str">
        <x:v>INV-1008</x:v>
      </x:c>
      <x:c r="B9" t="str">
        <x:v>V008</x:v>
      </x:c>
      <x:c r="C9" t="str">
        <x:v>Civic Print House</x:v>
      </x:c>
      <x:c r="D9" s="24" t="n">
        <x:v>46141</x:v>
      </x:c>
      <x:c r="E9" s="24" t="n">
        <x:v>46171</x:v>
      </x:c>
      <x:c r="F9" s="26" t="n">
        <x:v>6256</x:v>
      </x:c>
      <x:c r="G9" t="str">
        <x:v>Approved</x:v>
      </x:c>
      <x:c r="H9" t="str">
        <x:v>Yes</x:v>
      </x:c>
      <x:c r="I9" s="24" t="n">
        <x:v>46161</x:v>
      </x:c>
      <x:c r="J9" t="str">
        <x:v>M-2407</x:v>
      </x:c>
      <x:c r="K9" t="str">
        <x:v>Printing &amp; Copying</x:v>
      </x:c>
      <x:c r="L9" s="12" t="str">
        <x:f>IF(COUNTIF($A$2:$A$73,A9)&gt;1,"DUPLICATE","")</x:f>
      </x:c>
      <x:c r="M9" s="12" t="str">
        <x:f>IF(G9&lt;&gt;"Approved","MISSING APPROVAL","")</x:f>
      </x:c>
      <x:c r="N9" s="12" t="str">
        <x:f>IF(AND(H9&lt;&gt;"Yes",E9&lt;DATE(2026,7,1)),"OVERDUE","")</x:f>
      </x:c>
      <x:c r="O9" s="12" t="str">
        <x:f>IF(COUNTIF('Vendor Master'!$A$2:$A$9,B9)=0,"INVALID VENDOR","")</x:f>
      </x:c>
      <x:c r="P9" s="12" t="n">
        <x:f>IF(L9&lt;&gt;"",1,0)+IF(M9&lt;&gt;"",1,0)+IF(N9&lt;&gt;"",1,0)+IF(O9&lt;&gt;"",1,0)</x:f>
        <x:v>0</x:v>
      </x:c>
      <x:c r="Q9" s="12" t="str">
        <x:f>IF(P9=0,"CLEAR","REVIEW")</x:f>
        <x:v>CLEAR</x:v>
      </x:c>
    </x:row>
    <x:row r="10">
      <x:c r="A10" t="str">
        <x:v>INV-1009</x:v>
      </x:c>
      <x:c r="B10" t="str">
        <x:v>V001</x:v>
      </x:c>
      <x:c r="C10" t="str">
        <x:v>Lexis Research Services</x:v>
      </x:c>
      <x:c r="D10" s="24" t="n">
        <x:v>46145</x:v>
      </x:c>
      <x:c r="E10" s="24" t="n">
        <x:v>46175</x:v>
      </x:c>
      <x:c r="F10" s="26" t="n">
        <x:v>201.65</x:v>
      </x:c>
      <x:c r="G10" t="str">
        <x:v>Approved</x:v>
      </x:c>
      <x:c r="H10" t="str">
        <x:v>No</x:v>
      </x:c>
      <x:c r="I10" s="24"/>
      <x:c r="J10" t="str">
        <x:v>M-2408</x:v>
      </x:c>
      <x:c r="K10" t="str">
        <x:v>Research &amp; Subscriptions</x:v>
      </x:c>
      <x:c r="L10" s="12" t="str">
        <x:f>IF(COUNTIF($A$2:$A$73,A10)&gt;1,"DUPLICATE","")</x:f>
      </x:c>
      <x:c r="M10" s="12" t="str">
        <x:f>IF(G10&lt;&gt;"Approved","MISSING APPROVAL","")</x:f>
      </x:c>
      <x:c r="N10" s="12" t="str">
        <x:f>IF(AND(H10&lt;&gt;"Yes",E10&lt;DATE(2026,7,1)),"OVERDUE","")</x:f>
        <x:v>OVERDUE</x:v>
      </x:c>
      <x:c r="O10" s="12" t="str">
        <x:f>IF(COUNTIF('Vendor Master'!$A$2:$A$9,B10)=0,"INVALID VENDOR","")</x:f>
      </x:c>
      <x:c r="P10" s="12" t="n">
        <x:f>IF(L10&lt;&gt;"",1,0)+IF(M10&lt;&gt;"",1,0)+IF(N10&lt;&gt;"",1,0)+IF(O10&lt;&gt;"",1,0)</x:f>
        <x:v>1</x:v>
      </x:c>
      <x:c r="Q10" s="12" t="str">
        <x:f>IF(P10=0,"CLEAR","REVIEW")</x:f>
        <x:v>REVIEW</x:v>
      </x:c>
    </x:row>
    <x:row r="11">
      <x:c r="A11" t="str">
        <x:v>INV-1010</x:v>
      </x:c>
      <x:c r="B11" t="str">
        <x:v>V002</x:v>
      </x:c>
      <x:c r="C11" t="str">
        <x:v>Capitol Office Supply</x:v>
      </x:c>
      <x:c r="D11" s="24" t="n">
        <x:v>46149</x:v>
      </x:c>
      <x:c r="E11" s="24" t="n">
        <x:v>46179</x:v>
      </x:c>
      <x:c r="F11" s="26" t="n">
        <x:v>382.2</x:v>
      </x:c>
      <x:c r="G11" t="str">
        <x:v>Approved</x:v>
      </x:c>
      <x:c r="H11" t="str">
        <x:v>Yes</x:v>
      </x:c>
      <x:c r="I11" s="24" t="n">
        <x:v>46169</x:v>
      </x:c>
      <x:c r="J11" t="str">
        <x:v>M-2409</x:v>
      </x:c>
      <x:c r="K11" t="str">
        <x:v>Office Supplies</x:v>
      </x:c>
      <x:c r="L11" s="12" t="str">
        <x:f>IF(COUNTIF($A$2:$A$73,A11)&gt;1,"DUPLICATE","")</x:f>
      </x:c>
      <x:c r="M11" s="12" t="str">
        <x:f>IF(G11&lt;&gt;"Approved","MISSING APPROVAL","")</x:f>
      </x:c>
      <x:c r="N11" s="12" t="str">
        <x:f>IF(AND(H11&lt;&gt;"Yes",E11&lt;DATE(2026,7,1)),"OVERDUE","")</x:f>
      </x:c>
      <x:c r="O11" s="12" t="str">
        <x:f>IF(COUNTIF('Vendor Master'!$A$2:$A$9,B11)=0,"INVALID VENDOR","")</x:f>
      </x:c>
      <x:c r="P11" s="12" t="n">
        <x:f>IF(L11&lt;&gt;"",1,0)+IF(M11&lt;&gt;"",1,0)+IF(N11&lt;&gt;"",1,0)+IF(O11&lt;&gt;"",1,0)</x:f>
        <x:v>0</x:v>
      </x:c>
      <x:c r="Q11" s="12" t="str">
        <x:f>IF(P11=0,"CLEAR","REVIEW")</x:f>
        <x:v>CLEAR</x:v>
      </x:c>
    </x:row>
    <x:row r="12">
      <x:c r="A12" t="str">
        <x:v>INV-1011</x:v>
      </x:c>
      <x:c r="B12" t="str">
        <x:v>V003</x:v>
      </x:c>
      <x:c r="C12" t="str">
        <x:v>Harbor IT Solutions</x:v>
      </x:c>
      <x:c r="D12" s="24" t="n">
        <x:v>46153</x:v>
      </x:c>
      <x:c r="E12" s="24" t="n">
        <x:v>46168</x:v>
      </x:c>
      <x:c r="F12" s="26" t="n">
        <x:v>837</x:v>
      </x:c>
      <x:c r="G12" t="str">
        <x:v>Approved</x:v>
      </x:c>
      <x:c r="H12" t="str">
        <x:v>Yes</x:v>
      </x:c>
      <x:c r="I12" s="24" t="n">
        <x:v>46166</x:v>
      </x:c>
      <x:c r="J12" t="str">
        <x:v>M-2410</x:v>
      </x:c>
      <x:c r="K12" t="str">
        <x:v>IT &amp; Software</x:v>
      </x:c>
      <x:c r="L12" s="12" t="str">
        <x:f>IF(COUNTIF($A$2:$A$73,A12)&gt;1,"DUPLICATE","")</x:f>
      </x:c>
      <x:c r="M12" s="12" t="str">
        <x:f>IF(G12&lt;&gt;"Approved","MISSING APPROVAL","")</x:f>
      </x:c>
      <x:c r="N12" s="12" t="str">
        <x:f>IF(AND(H12&lt;&gt;"Yes",E12&lt;DATE(2026,7,1)),"OVERDUE","")</x:f>
      </x:c>
      <x:c r="O12" s="12" t="str">
        <x:f>IF(COUNTIF('Vendor Master'!$A$2:$A$9,B12)=0,"INVALID VENDOR","")</x:f>
      </x:c>
      <x:c r="P12" s="12" t="n">
        <x:f>IF(L12&lt;&gt;"",1,0)+IF(M12&lt;&gt;"",1,0)+IF(N12&lt;&gt;"",1,0)+IF(O12&lt;&gt;"",1,0)</x:f>
        <x:v>0</x:v>
      </x:c>
      <x:c r="Q12" s="12" t="str">
        <x:f>IF(P12=0,"CLEAR","REVIEW")</x:f>
        <x:v>CLEAR</x:v>
      </x:c>
    </x:row>
    <x:row r="13">
      <x:c r="A13" t="str">
        <x:v>INV-1012</x:v>
      </x:c>
      <x:c r="B13" t="str">
        <x:v>V004</x:v>
      </x:c>
      <x:c r="C13" t="str">
        <x:v>Metro Court Reporting</x:v>
      </x:c>
      <x:c r="D13" s="24" t="n">
        <x:v>46157</x:v>
      </x:c>
      <x:c r="E13" s="24" t="n">
        <x:v>46187</x:v>
      </x:c>
      <x:c r="F13" s="26" t="n">
        <x:v>1125</x:v>
      </x:c>
      <x:c r="G13" t="str">
        <x:v>Pending</x:v>
      </x:c>
      <x:c r="H13" t="str">
        <x:v>Yes</x:v>
      </x:c>
      <x:c r="I13" s="24" t="n">
        <x:v>46177</x:v>
      </x:c>
      <x:c r="J13" t="str">
        <x:v>M-2411</x:v>
      </x:c>
      <x:c r="K13" t="str">
        <x:v>Outside Services</x:v>
      </x:c>
      <x:c r="L13" s="12" t="str">
        <x:f>IF(COUNTIF($A$2:$A$73,A13)&gt;1,"DUPLICATE","")</x:f>
      </x:c>
      <x:c r="M13" s="12" t="str">
        <x:f>IF(G13&lt;&gt;"Approved","MISSING APPROVAL","")</x:f>
        <x:v>MISSING APPROVAL</x:v>
      </x:c>
      <x:c r="N13" s="12" t="str">
        <x:f>IF(AND(H13&lt;&gt;"Yes",E13&lt;DATE(2026,7,1)),"OVERDUE","")</x:f>
      </x:c>
      <x:c r="O13" s="12" t="str">
        <x:f>IF(COUNTIF('Vendor Master'!$A$2:$A$9,B13)=0,"INVALID VENDOR","")</x:f>
      </x:c>
      <x:c r="P13" s="12" t="n">
        <x:f>IF(L13&lt;&gt;"",1,0)+IF(M13&lt;&gt;"",1,0)+IF(N13&lt;&gt;"",1,0)+IF(O13&lt;&gt;"",1,0)</x:f>
        <x:v>1</x:v>
      </x:c>
      <x:c r="Q13" s="12" t="str">
        <x:f>IF(P13=0,"CLEAR","REVIEW")</x:f>
        <x:v>REVIEW</x:v>
      </x:c>
    </x:row>
    <x:row r="14">
      <x:c r="A14" t="str">
        <x:v>INV-1013</x:v>
      </x:c>
      <x:c r="B14" t="str">
        <x:v>V005</x:v>
      </x:c>
      <x:c r="C14" t="str">
        <x:v>Bluebird Property Mgmt</x:v>
      </x:c>
      <x:c r="D14" s="24" t="n">
        <x:v>46161</x:v>
      </x:c>
      <x:c r="E14" s="24" t="n">
        <x:v>46191</x:v>
      </x:c>
      <x:c r="F14" s="26" t="n">
        <x:v>2568</x:v>
      </x:c>
      <x:c r="G14" t="str">
        <x:v>Approved</x:v>
      </x:c>
      <x:c r="H14" t="str">
        <x:v>Yes</x:v>
      </x:c>
      <x:c r="I14" s="24" t="n">
        <x:v>46181</x:v>
      </x:c>
      <x:c r="J14" t="str">
        <x:v>M-2412</x:v>
      </x:c>
      <x:c r="K14" t="str">
        <x:v>Rent &amp; Facilities</x:v>
      </x:c>
      <x:c r="L14" s="12" t="str">
        <x:f>IF(COUNTIF($A$2:$A$73,A14)&gt;1,"DUPLICATE","")</x:f>
      </x:c>
      <x:c r="M14" s="12" t="str">
        <x:f>IF(G14&lt;&gt;"Approved","MISSING APPROVAL","")</x:f>
      </x:c>
      <x:c r="N14" s="12" t="str">
        <x:f>IF(AND(H14&lt;&gt;"Yes",E14&lt;DATE(2026,7,1)),"OVERDUE","")</x:f>
      </x:c>
      <x:c r="O14" s="12" t="str">
        <x:f>IF(COUNTIF('Vendor Master'!$A$2:$A$9,B14)=0,"INVALID VENDOR","")</x:f>
      </x:c>
      <x:c r="P14" s="12" t="n">
        <x:f>IF(L14&lt;&gt;"",1,0)+IF(M14&lt;&gt;"",1,0)+IF(N14&lt;&gt;"",1,0)+IF(O14&lt;&gt;"",1,0)</x:f>
        <x:v>0</x:v>
      </x:c>
      <x:c r="Q14" s="12" t="str">
        <x:f>IF(P14=0,"CLEAR","REVIEW")</x:f>
        <x:v>CLEAR</x:v>
      </x:c>
    </x:row>
    <x:row r="15">
      <x:c r="A15" t="str">
        <x:v>INV-1014</x:v>
      </x:c>
      <x:c r="B15" t="str">
        <x:v>V006</x:v>
      </x:c>
      <x:c r="C15" t="str">
        <x:v>Atlantic Travel Desk</x:v>
      </x:c>
      <x:c r="D15" s="24" t="n">
        <x:v>46165</x:v>
      </x:c>
      <x:c r="E15" s="24" t="n">
        <x:v>46180</x:v>
      </x:c>
      <x:c r="F15" s="26" t="n">
        <x:v>3204</x:v>
      </x:c>
      <x:c r="G15" t="str">
        <x:v>Approved</x:v>
      </x:c>
      <x:c r="H15" t="str">
        <x:v>Yes</x:v>
      </x:c>
      <x:c r="I15" s="24" t="n">
        <x:v>46178</x:v>
      </x:c>
      <x:c r="J15" t="str">
        <x:v>M-2413</x:v>
      </x:c>
      <x:c r="K15" t="str">
        <x:v>Travel</x:v>
      </x:c>
      <x:c r="L15" s="12" t="str">
        <x:f>IF(COUNTIF($A$2:$A$73,A15)&gt;1,"DUPLICATE","")</x:f>
        <x:v>DUPLICATE</x:v>
      </x:c>
      <x:c r="M15" s="12" t="str">
        <x:f>IF(G15&lt;&gt;"Approved","MISSING APPROVAL","")</x:f>
      </x:c>
      <x:c r="N15" s="12" t="str">
        <x:f>IF(AND(H15&lt;&gt;"Yes",E15&lt;DATE(2026,7,1)),"OVERDUE","")</x:f>
      </x:c>
      <x:c r="O15" s="12" t="str">
        <x:f>IF(COUNTIF('Vendor Master'!$A$2:$A$9,B15)=0,"INVALID VENDOR","")</x:f>
      </x:c>
      <x:c r="P15" s="12" t="n">
        <x:f>IF(L15&lt;&gt;"",1,0)+IF(M15&lt;&gt;"",1,0)+IF(N15&lt;&gt;"",1,0)+IF(O15&lt;&gt;"",1,0)</x:f>
        <x:v>1</x:v>
      </x:c>
      <x:c r="Q15" s="12" t="str">
        <x:f>IF(P15=0,"CLEAR","REVIEW")</x:f>
        <x:v>REVIEW</x:v>
      </x:c>
    </x:row>
    <x:row r="16">
      <x:c r="A16" t="str">
        <x:v>INV-1015</x:v>
      </x:c>
      <x:c r="B16" t="str">
        <x:v>V007</x:v>
      </x:c>
      <x:c r="C16" t="str">
        <x:v>Evergreen Records</x:v>
      </x:c>
      <x:c r="D16" s="24" t="n">
        <x:v>46169</x:v>
      </x:c>
      <x:c r="E16" s="24" t="n">
        <x:v>46199</x:v>
      </x:c>
      <x:c r="F16" s="26" t="n">
        <x:v>5565</x:v>
      </x:c>
      <x:c r="G16" t="str">
        <x:v>Approved</x:v>
      </x:c>
      <x:c r="H16" t="str">
        <x:v>Yes</x:v>
      </x:c>
      <x:c r="I16" s="24" t="n">
        <x:v>46189</x:v>
      </x:c>
      <x:c r="J16" t="str">
        <x:v>M-2414</x:v>
      </x:c>
      <x:c r="K16" t="str">
        <x:v>Records &amp; Storage</x:v>
      </x:c>
      <x:c r="L16" s="12" t="str">
        <x:f>IF(COUNTIF($A$2:$A$73,A16)&gt;1,"DUPLICATE","")</x:f>
      </x:c>
      <x:c r="M16" s="12" t="str">
        <x:f>IF(G16&lt;&gt;"Approved","MISSING APPROVAL","")</x:f>
      </x:c>
      <x:c r="N16" s="12" t="str">
        <x:f>IF(AND(H16&lt;&gt;"Yes",E16&lt;DATE(2026,7,1)),"OVERDUE","")</x:f>
      </x:c>
      <x:c r="O16" s="12" t="str">
        <x:f>IF(COUNTIF('Vendor Master'!$A$2:$A$9,B16)=0,"INVALID VENDOR","")</x:f>
      </x:c>
      <x:c r="P16" s="12" t="n">
        <x:f>IF(L16&lt;&gt;"",1,0)+IF(M16&lt;&gt;"",1,0)+IF(N16&lt;&gt;"",1,0)+IF(O16&lt;&gt;"",1,0)</x:f>
        <x:v>0</x:v>
      </x:c>
      <x:c r="Q16" s="12" t="str">
        <x:f>IF(P16=0,"CLEAR","REVIEW")</x:f>
        <x:v>CLEAR</x:v>
      </x:c>
    </x:row>
    <x:row r="17">
      <x:c r="A17" t="str">
        <x:v>INV-1016</x:v>
      </x:c>
      <x:c r="B17" t="str">
        <x:v>V008</x:v>
      </x:c>
      <x:c r="C17" t="str">
        <x:v>Civic Print House</x:v>
      </x:c>
      <x:c r="D17" s="24" t="n">
        <x:v>46173</x:v>
      </x:c>
      <x:c r="E17" s="24" t="n">
        <x:v>46203</x:v>
      </x:c>
      <x:c r="F17" s="26" t="n">
        <x:v>5984</x:v>
      </x:c>
      <x:c r="G17" t="str">
        <x:v>Approved</x:v>
      </x:c>
      <x:c r="H17" t="str">
        <x:v>Yes</x:v>
      </x:c>
      <x:c r="I17" s="24" t="n">
        <x:v>46193</x:v>
      </x:c>
      <x:c r="J17" t="str">
        <x:v>M-2415</x:v>
      </x:c>
      <x:c r="K17" t="str">
        <x:v>Printing &amp; Copying</x:v>
      </x:c>
      <x:c r="L17" s="12" t="str">
        <x:f>IF(COUNTIF($A$2:$A$73,A17)&gt;1,"DUPLICATE","")</x:f>
      </x:c>
      <x:c r="M17" s="12" t="str">
        <x:f>IF(G17&lt;&gt;"Approved","MISSING APPROVAL","")</x:f>
      </x:c>
      <x:c r="N17" s="12" t="str">
        <x:f>IF(AND(H17&lt;&gt;"Yes",E17&lt;DATE(2026,7,1)),"OVERDUE","")</x:f>
      </x:c>
      <x:c r="O17" s="12" t="str">
        <x:f>IF(COUNTIF('Vendor Master'!$A$2:$A$9,B17)=0,"INVALID VENDOR","")</x:f>
      </x:c>
      <x:c r="P17" s="12" t="n">
        <x:f>IF(L17&lt;&gt;"",1,0)+IF(M17&lt;&gt;"",1,0)+IF(N17&lt;&gt;"",1,0)+IF(O17&lt;&gt;"",1,0)</x:f>
        <x:v>0</x:v>
      </x:c>
      <x:c r="Q17" s="12" t="str">
        <x:f>IF(P17=0,"CLEAR","REVIEW")</x:f>
        <x:v>CLEAR</x:v>
      </x:c>
    </x:row>
    <x:row r="18">
      <x:c r="A18" t="str">
        <x:v>INV-1017</x:v>
      </x:c>
      <x:c r="B18" t="str">
        <x:v>V001</x:v>
      </x:c>
      <x:c r="C18" t="str">
        <x:v>Lexis Research Services</x:v>
      </x:c>
      <x:c r="D18" s="24" t="n">
        <x:v>46177</x:v>
      </x:c>
      <x:c r="E18" s="24" t="n">
        <x:v>46207</x:v>
      </x:c>
      <x:c r="F18" s="26" t="n">
        <x:v>194.25</x:v>
      </x:c>
      <x:c r="G18" t="str">
        <x:v>Approved</x:v>
      </x:c>
      <x:c r="H18" t="str">
        <x:v>Yes</x:v>
      </x:c>
      <x:c r="I18" s="24" t="n">
        <x:v>46197</x:v>
      </x:c>
      <x:c r="J18" t="str">
        <x:v>M-2416</x:v>
      </x:c>
      <x:c r="K18" t="str">
        <x:v>Research &amp; Subscriptions</x:v>
      </x:c>
      <x:c r="L18" s="12" t="str">
        <x:f>IF(COUNTIF($A$2:$A$73,A18)&gt;1,"DUPLICATE","")</x:f>
      </x:c>
      <x:c r="M18" s="12" t="str">
        <x:f>IF(G18&lt;&gt;"Approved","MISSING APPROVAL","")</x:f>
      </x:c>
      <x:c r="N18" s="12" t="str">
        <x:f>IF(AND(H18&lt;&gt;"Yes",E18&lt;DATE(2026,7,1)),"OVERDUE","")</x:f>
      </x:c>
      <x:c r="O18" s="12" t="str">
        <x:f>IF(COUNTIF('Vendor Master'!$A$2:$A$9,B18)=0,"INVALID VENDOR","")</x:f>
      </x:c>
      <x:c r="P18" s="12" t="n">
        <x:f>IF(L18&lt;&gt;"",1,0)+IF(M18&lt;&gt;"",1,0)+IF(N18&lt;&gt;"",1,0)+IF(O18&lt;&gt;"",1,0)</x:f>
        <x:v>0</x:v>
      </x:c>
      <x:c r="Q18" s="12" t="str">
        <x:f>IF(P18=0,"CLEAR","REVIEW")</x:f>
        <x:v>CLEAR</x:v>
      </x:c>
    </x:row>
    <x:row r="19">
      <x:c r="A19" t="str">
        <x:v>INV-1018</x:v>
      </x:c>
      <x:c r="B19" t="str">
        <x:v>V002</x:v>
      </x:c>
      <x:c r="C19" t="str">
        <x:v>Capitol Office Supply</x:v>
      </x:c>
      <x:c r="D19" s="24" t="n">
        <x:v>46181</x:v>
      </x:c>
      <x:c r="E19" s="24" t="n">
        <x:v>46211</x:v>
      </x:c>
      <x:c r="F19" s="26" t="n">
        <x:v>365.4</x:v>
      </x:c>
      <x:c r="G19" t="str">
        <x:v>Approved</x:v>
      </x:c>
      <x:c r="H19" t="str">
        <x:v>Yes</x:v>
      </x:c>
      <x:c r="I19" s="24" t="n">
        <x:v>46201</x:v>
      </x:c>
      <x:c r="J19" t="str">
        <x:v>M-2417</x:v>
      </x:c>
      <x:c r="K19" t="str">
        <x:v>Office Supplies</x:v>
      </x:c>
      <x:c r="L19" s="12" t="str">
        <x:f>IF(COUNTIF($A$2:$A$73,A19)&gt;1,"DUPLICATE","")</x:f>
      </x:c>
      <x:c r="M19" s="12" t="str">
        <x:f>IF(G19&lt;&gt;"Approved","MISSING APPROVAL","")</x:f>
      </x:c>
      <x:c r="N19" s="12" t="str">
        <x:f>IF(AND(H19&lt;&gt;"Yes",E19&lt;DATE(2026,7,1)),"OVERDUE","")</x:f>
      </x:c>
      <x:c r="O19" s="12" t="str">
        <x:f>IF(COUNTIF('Vendor Master'!$A$2:$A$9,B19)=0,"INVALID VENDOR","")</x:f>
      </x:c>
      <x:c r="P19" s="12" t="n">
        <x:f>IF(L19&lt;&gt;"",1,0)+IF(M19&lt;&gt;"",1,0)+IF(N19&lt;&gt;"",1,0)+IF(O19&lt;&gt;"",1,0)</x:f>
        <x:v>0</x:v>
      </x:c>
      <x:c r="Q19" s="12" t="str">
        <x:f>IF(P19=0,"CLEAR","REVIEW")</x:f>
        <x:v>CLEAR</x:v>
      </x:c>
    </x:row>
    <x:row r="20">
      <x:c r="A20" t="str">
        <x:v>INV-1019</x:v>
      </x:c>
      <x:c r="B20" t="str">
        <x:v>V003</x:v>
      </x:c>
      <x:c r="C20" t="str">
        <x:v>Harbor IT Solutions</x:v>
      </x:c>
      <x:c r="D20" s="24" t="n">
        <x:v>46185</x:v>
      </x:c>
      <x:c r="E20" s="24" t="n">
        <x:v>46200</x:v>
      </x:c>
      <x:c r="F20" s="26" t="n">
        <x:v>806</x:v>
      </x:c>
      <x:c r="G20" t="str">
        <x:v>Approved</x:v>
      </x:c>
      <x:c r="H20" t="str">
        <x:v>Yes</x:v>
      </x:c>
      <x:c r="I20" s="24" t="n">
        <x:v>46198</x:v>
      </x:c>
      <x:c r="J20" t="str">
        <x:v>M-2418</x:v>
      </x:c>
      <x:c r="K20" t="str">
        <x:v>IT &amp; Software</x:v>
      </x:c>
      <x:c r="L20" s="12" t="str">
        <x:f>IF(COUNTIF($A$2:$A$73,A20)&gt;1,"DUPLICATE","")</x:f>
      </x:c>
      <x:c r="M20" s="12" t="str">
        <x:f>IF(G20&lt;&gt;"Approved","MISSING APPROVAL","")</x:f>
      </x:c>
      <x:c r="N20" s="12" t="str">
        <x:f>IF(AND(H20&lt;&gt;"Yes",E20&lt;DATE(2026,7,1)),"OVERDUE","")</x:f>
      </x:c>
      <x:c r="O20" s="12" t="str">
        <x:f>IF(COUNTIF('Vendor Master'!$A$2:$A$9,B20)=0,"INVALID VENDOR","")</x:f>
      </x:c>
      <x:c r="P20" s="12" t="n">
        <x:f>IF(L20&lt;&gt;"",1,0)+IF(M20&lt;&gt;"",1,0)+IF(N20&lt;&gt;"",1,0)+IF(O20&lt;&gt;"",1,0)</x:f>
        <x:v>0</x:v>
      </x:c>
      <x:c r="Q20" s="12" t="str">
        <x:f>IF(P20=0,"CLEAR","REVIEW")</x:f>
        <x:v>CLEAR</x:v>
      </x:c>
    </x:row>
    <x:row r="21">
      <x:c r="A21" t="str">
        <x:v>INV-1020</x:v>
      </x:c>
      <x:c r="B21" t="str">
        <x:v>V004</x:v>
      </x:c>
      <x:c r="C21" t="str">
        <x:v>Metro Court Reporting</x:v>
      </x:c>
      <x:c r="D21" s="24" t="n">
        <x:v>46189</x:v>
      </x:c>
      <x:c r="E21" s="24" t="n">
        <x:v>46219</x:v>
      </x:c>
      <x:c r="F21" s="26" t="n">
        <x:v>1075</x:v>
      </x:c>
      <x:c r="G21" t="str">
        <x:v>Approved</x:v>
      </x:c>
      <x:c r="H21" t="str">
        <x:v>No</x:v>
      </x:c>
      <x:c r="I21" s="24"/>
      <x:c r="J21" t="str">
        <x:v>M-2419</x:v>
      </x:c>
      <x:c r="K21" t="str">
        <x:v>Outside Services</x:v>
      </x:c>
      <x:c r="L21" s="12" t="str">
        <x:f>IF(COUNTIF($A$2:$A$73,A21)&gt;1,"DUPLICATE","")</x:f>
      </x:c>
      <x:c r="M21" s="12" t="str">
        <x:f>IF(G21&lt;&gt;"Approved","MISSING APPROVAL","")</x:f>
      </x:c>
      <x:c r="N21" s="12" t="str">
        <x:f>IF(AND(H21&lt;&gt;"Yes",E21&lt;DATE(2026,7,1)),"OVERDUE","")</x:f>
      </x:c>
      <x:c r="O21" s="12" t="str">
        <x:f>IF(COUNTIF('Vendor Master'!$A$2:$A$9,B21)=0,"INVALID VENDOR","")</x:f>
      </x:c>
      <x:c r="P21" s="12" t="n">
        <x:f>IF(L21&lt;&gt;"",1,0)+IF(M21&lt;&gt;"",1,0)+IF(N21&lt;&gt;"",1,0)+IF(O21&lt;&gt;"",1,0)</x:f>
        <x:v>0</x:v>
      </x:c>
      <x:c r="Q21" s="12" t="str">
        <x:f>IF(P21=0,"CLEAR","REVIEW")</x:f>
        <x:v>CLEAR</x:v>
      </x:c>
    </x:row>
    <x:row r="22">
      <x:c r="A22" t="str">
        <x:v>INV-1021</x:v>
      </x:c>
      <x:c r="B22" t="str">
        <x:v>V005</x:v>
      </x:c>
      <x:c r="C22" t="str">
        <x:v>Bluebird Property Mgmt</x:v>
      </x:c>
      <x:c r="D22" s="24" t="n">
        <x:v>46193</x:v>
      </x:c>
      <x:c r="E22" s="24" t="n">
        <x:v>46223</x:v>
      </x:c>
      <x:c r="F22" s="26" t="n">
        <x:v>2472</x:v>
      </x:c>
      <x:c r="G22" t="str">
        <x:v>Approved</x:v>
      </x:c>
      <x:c r="H22" t="str">
        <x:v>Yes</x:v>
      </x:c>
      <x:c r="I22" s="24" t="n">
        <x:v>46213</x:v>
      </x:c>
      <x:c r="J22" t="str">
        <x:v>M-2420</x:v>
      </x:c>
      <x:c r="K22" t="str">
        <x:v>Rent &amp; Facilities</x:v>
      </x:c>
      <x:c r="L22" s="12" t="str">
        <x:f>IF(COUNTIF($A$2:$A$73,A22)&gt;1,"DUPLICATE","")</x:f>
      </x:c>
      <x:c r="M22" s="12" t="str">
        <x:f>IF(G22&lt;&gt;"Approved","MISSING APPROVAL","")</x:f>
      </x:c>
      <x:c r="N22" s="12" t="str">
        <x:f>IF(AND(H22&lt;&gt;"Yes",E22&lt;DATE(2026,7,1)),"OVERDUE","")</x:f>
      </x:c>
      <x:c r="O22" s="12" t="str">
        <x:f>IF(COUNTIF('Vendor Master'!$A$2:$A$9,B22)=0,"INVALID VENDOR","")</x:f>
      </x:c>
      <x:c r="P22" s="12" t="n">
        <x:f>IF(L22&lt;&gt;"",1,0)+IF(M22&lt;&gt;"",1,0)+IF(N22&lt;&gt;"",1,0)+IF(O22&lt;&gt;"",1,0)</x:f>
        <x:v>0</x:v>
      </x:c>
      <x:c r="Q22" s="12" t="str">
        <x:f>IF(P22=0,"CLEAR","REVIEW")</x:f>
        <x:v>CLEAR</x:v>
      </x:c>
    </x:row>
    <x:row r="23">
      <x:c r="A23" t="str">
        <x:v>INV-1022</x:v>
      </x:c>
      <x:c r="B23" t="str">
        <x:v>V006</x:v>
      </x:c>
      <x:c r="C23" t="str">
        <x:v>Atlantic Travel Desk</x:v>
      </x:c>
      <x:c r="D23" s="24" t="n">
        <x:v>46197</x:v>
      </x:c>
      <x:c r="E23" s="24" t="n">
        <x:v>46212</x:v>
      </x:c>
      <x:c r="F23" s="26" t="n">
        <x:v>3060</x:v>
      </x:c>
      <x:c r="G23" t="str">
        <x:v>Approved</x:v>
      </x:c>
      <x:c r="H23" t="str">
        <x:v>Yes</x:v>
      </x:c>
      <x:c r="I23" s="24" t="n">
        <x:v>46210</x:v>
      </x:c>
      <x:c r="J23" t="str">
        <x:v>M-2421</x:v>
      </x:c>
      <x:c r="K23" t="str">
        <x:v>Travel</x:v>
      </x:c>
      <x:c r="L23" s="12" t="str">
        <x:f>IF(COUNTIF($A$2:$A$73,A23)&gt;1,"DUPLICATE","")</x:f>
      </x:c>
      <x:c r="M23" s="12" t="str">
        <x:f>IF(G23&lt;&gt;"Approved","MISSING APPROVAL","")</x:f>
      </x:c>
      <x:c r="N23" s="12" t="str">
        <x:f>IF(AND(H23&lt;&gt;"Yes",E23&lt;DATE(2026,7,1)),"OVERDUE","")</x:f>
      </x:c>
      <x:c r="O23" s="12" t="str">
        <x:f>IF(COUNTIF('Vendor Master'!$A$2:$A$9,B23)=0,"INVALID VENDOR","")</x:f>
      </x:c>
      <x:c r="P23" s="12" t="n">
        <x:f>IF(L23&lt;&gt;"",1,0)+IF(M23&lt;&gt;"",1,0)+IF(N23&lt;&gt;"",1,0)+IF(O23&lt;&gt;"",1,0)</x:f>
        <x:v>0</x:v>
      </x:c>
      <x:c r="Q23" s="12" t="str">
        <x:f>IF(P23=0,"CLEAR","REVIEW")</x:f>
        <x:v>CLEAR</x:v>
      </x:c>
    </x:row>
    <x:row r="24">
      <x:c r="A24" t="str">
        <x:v>INV-1023</x:v>
      </x:c>
      <x:c r="B24" t="str">
        <x:v>V007</x:v>
      </x:c>
      <x:c r="C24" t="str">
        <x:v>Evergreen Records</x:v>
      </x:c>
      <x:c r="D24" s="24" t="n">
        <x:v>46113</x:v>
      </x:c>
      <x:c r="E24" s="24" t="n">
        <x:v>46143</x:v>
      </x:c>
      <x:c r="F24" s="26" t="n">
        <x:v>5355</x:v>
      </x:c>
      <x:c r="G24" t="str">
        <x:v>Approved</x:v>
      </x:c>
      <x:c r="H24" t="str">
        <x:v>Yes</x:v>
      </x:c>
      <x:c r="I24" s="24" t="n">
        <x:v>46133</x:v>
      </x:c>
      <x:c r="J24" t="str">
        <x:v>M-2422</x:v>
      </x:c>
      <x:c r="K24" t="str">
        <x:v>Miscellaneous</x:v>
      </x:c>
      <x:c r="L24" s="12" t="str">
        <x:f>IF(COUNTIF($A$2:$A$73,A24)&gt;1,"DUPLICATE","")</x:f>
      </x:c>
      <x:c r="M24" s="12" t="str">
        <x:f>IF(G24&lt;&gt;"Approved","MISSING APPROVAL","")</x:f>
      </x:c>
      <x:c r="N24" s="12" t="str">
        <x:f>IF(AND(H24&lt;&gt;"Yes",E24&lt;DATE(2026,7,1)),"OVERDUE","")</x:f>
      </x:c>
      <x:c r="O24" s="12" t="str">
        <x:f>IF(COUNTIF('Vendor Master'!$A$2:$A$9,B24)=0,"INVALID VENDOR","")</x:f>
      </x:c>
      <x:c r="P24" s="12" t="n">
        <x:f>IF(L24&lt;&gt;"",1,0)+IF(M24&lt;&gt;"",1,0)+IF(N24&lt;&gt;"",1,0)+IF(O24&lt;&gt;"",1,0)</x:f>
        <x:v>0</x:v>
      </x:c>
      <x:c r="Q24" s="12" t="str">
        <x:f>IF(P24=0,"CLEAR","REVIEW")</x:f>
        <x:v>CLEAR</x:v>
      </x:c>
    </x:row>
    <x:row r="25">
      <x:c r="A25" t="str">
        <x:v>INV-1024</x:v>
      </x:c>
      <x:c r="B25" t="str">
        <x:v>V008</x:v>
      </x:c>
      <x:c r="C25" t="str">
        <x:v>Civic Print House</x:v>
      </x:c>
      <x:c r="D25" s="24" t="n">
        <x:v>46117</x:v>
      </x:c>
      <x:c r="E25" s="24" t="n">
        <x:v>46147</x:v>
      </x:c>
      <x:c r="F25" s="26" t="n">
        <x:v>5712</x:v>
      </x:c>
      <x:c r="G25" t="str">
        <x:v>Approved</x:v>
      </x:c>
      <x:c r="H25" t="str">
        <x:v>Yes</x:v>
      </x:c>
      <x:c r="I25" s="24" t="n">
        <x:v>46137</x:v>
      </x:c>
      <x:c r="J25" t="str">
        <x:v>M-2423</x:v>
      </x:c>
      <x:c r="K25" t="str">
        <x:v>Printing &amp; Copying</x:v>
      </x:c>
      <x:c r="L25" s="12" t="str">
        <x:f>IF(COUNTIF($A$2:$A$73,A25)&gt;1,"DUPLICATE","")</x:f>
      </x:c>
      <x:c r="M25" s="12" t="str">
        <x:f>IF(G25&lt;&gt;"Approved","MISSING APPROVAL","")</x:f>
      </x:c>
      <x:c r="N25" s="12" t="str">
        <x:f>IF(AND(H25&lt;&gt;"Yes",E25&lt;DATE(2026,7,1)),"OVERDUE","")</x:f>
      </x:c>
      <x:c r="O25" s="12" t="str">
        <x:f>IF(COUNTIF('Vendor Master'!$A$2:$A$9,B25)=0,"INVALID VENDOR","")</x:f>
      </x:c>
      <x:c r="P25" s="12" t="n">
        <x:f>IF(L25&lt;&gt;"",1,0)+IF(M25&lt;&gt;"",1,0)+IF(N25&lt;&gt;"",1,0)+IF(O25&lt;&gt;"",1,0)</x:f>
        <x:v>0</x:v>
      </x:c>
      <x:c r="Q25" s="12" t="str">
        <x:f>IF(P25=0,"CLEAR","REVIEW")</x:f>
        <x:v>CLEAR</x:v>
      </x:c>
    </x:row>
    <x:row r="26">
      <x:c r="A26" t="str">
        <x:v>INV-1025</x:v>
      </x:c>
      <x:c r="B26" t="str">
        <x:v>V001</x:v>
      </x:c>
      <x:c r="C26" t="str">
        <x:v>Lexis Research Services</x:v>
      </x:c>
      <x:c r="D26" s="24" t="n">
        <x:v>46121</x:v>
      </x:c>
      <x:c r="E26" s="24" t="n">
        <x:v>46151</x:v>
      </x:c>
      <x:c r="F26" s="26" t="n">
        <x:v>186.85</x:v>
      </x:c>
      <x:c r="G26" t="str">
        <x:v>Approved</x:v>
      </x:c>
      <x:c r="H26" t="str">
        <x:v>Yes</x:v>
      </x:c>
      <x:c r="I26" s="24" t="n">
        <x:v>46141</x:v>
      </x:c>
      <x:c r="J26" t="str">
        <x:v>M-2424</x:v>
      </x:c>
      <x:c r="K26" t="str">
        <x:v>Research &amp; Subscriptions</x:v>
      </x:c>
      <x:c r="L26" s="12" t="str">
        <x:f>IF(COUNTIF($A$2:$A$73,A26)&gt;1,"DUPLICATE","")</x:f>
      </x:c>
      <x:c r="M26" s="12" t="str">
        <x:f>IF(G26&lt;&gt;"Approved","MISSING APPROVAL","")</x:f>
      </x:c>
      <x:c r="N26" s="12" t="str">
        <x:f>IF(AND(H26&lt;&gt;"Yes",E26&lt;DATE(2026,7,1)),"OVERDUE","")</x:f>
      </x:c>
      <x:c r="O26" s="12" t="str">
        <x:f>IF(COUNTIF('Vendor Master'!$A$2:$A$9,B26)=0,"INVALID VENDOR","")</x:f>
      </x:c>
      <x:c r="P26" s="12" t="n">
        <x:f>IF(L26&lt;&gt;"",1,0)+IF(M26&lt;&gt;"",1,0)+IF(N26&lt;&gt;"",1,0)+IF(O26&lt;&gt;"",1,0)</x:f>
        <x:v>0</x:v>
      </x:c>
      <x:c r="Q26" s="12" t="str">
        <x:f>IF(P26=0,"CLEAR","REVIEW")</x:f>
        <x:v>CLEAR</x:v>
      </x:c>
    </x:row>
    <x:row r="27">
      <x:c r="A27" t="str">
        <x:v>INV-1026</x:v>
      </x:c>
      <x:c r="B27" t="str">
        <x:v>V002</x:v>
      </x:c>
      <x:c r="C27" t="str">
        <x:v>Capitol Office Supply</x:v>
      </x:c>
      <x:c r="D27" s="24" t="n">
        <x:v>46125</x:v>
      </x:c>
      <x:c r="E27" s="24" t="n">
        <x:v>46155</x:v>
      </x:c>
      <x:c r="F27" s="26" t="n">
        <x:v>348.6</x:v>
      </x:c>
      <x:c r="G27" t="str">
        <x:v>Approved</x:v>
      </x:c>
      <x:c r="H27" t="str">
        <x:v>Yes</x:v>
      </x:c>
      <x:c r="I27" s="24" t="n">
        <x:v>46145</x:v>
      </x:c>
      <x:c r="J27" t="str">
        <x:v>M-2425</x:v>
      </x:c>
      <x:c r="K27" t="str">
        <x:v>Office Supplies</x:v>
      </x:c>
      <x:c r="L27" s="12" t="str">
        <x:f>IF(COUNTIF($A$2:$A$73,A27)&gt;1,"DUPLICATE","")</x:f>
      </x:c>
      <x:c r="M27" s="12" t="str">
        <x:f>IF(G27&lt;&gt;"Approved","MISSING APPROVAL","")</x:f>
      </x:c>
      <x:c r="N27" s="12" t="str">
        <x:f>IF(AND(H27&lt;&gt;"Yes",E27&lt;DATE(2026,7,1)),"OVERDUE","")</x:f>
      </x:c>
      <x:c r="O27" s="12" t="str">
        <x:f>IF(COUNTIF('Vendor Master'!$A$2:$A$9,B27)=0,"INVALID VENDOR","")</x:f>
      </x:c>
      <x:c r="P27" s="12" t="n">
        <x:f>IF(L27&lt;&gt;"",1,0)+IF(M27&lt;&gt;"",1,0)+IF(N27&lt;&gt;"",1,0)+IF(O27&lt;&gt;"",1,0)</x:f>
        <x:v>0</x:v>
      </x:c>
      <x:c r="Q27" s="12" t="str">
        <x:f>IF(P27=0,"CLEAR","REVIEW")</x:f>
        <x:v>CLEAR</x:v>
      </x:c>
    </x:row>
    <x:row r="28">
      <x:c r="A28" t="str">
        <x:v>INV-1014</x:v>
      </x:c>
      <x:c r="B28" t="str">
        <x:v>V003</x:v>
      </x:c>
      <x:c r="C28" t="str">
        <x:v>Harbor IT Solutions</x:v>
      </x:c>
      <x:c r="D28" s="24" t="n">
        <x:v>46129</x:v>
      </x:c>
      <x:c r="E28" s="24" t="n">
        <x:v>46144</x:v>
      </x:c>
      <x:c r="F28" s="26" t="n">
        <x:v>775</x:v>
      </x:c>
      <x:c r="G28" t="str">
        <x:v>Approved</x:v>
      </x:c>
      <x:c r="H28" t="str">
        <x:v>Yes</x:v>
      </x:c>
      <x:c r="I28" s="24" t="n">
        <x:v>46142</x:v>
      </x:c>
      <x:c r="J28" t="str">
        <x:v>M-2426</x:v>
      </x:c>
      <x:c r="K28" t="str">
        <x:v>IT &amp; Software</x:v>
      </x:c>
      <x:c r="L28" s="12" t="str">
        <x:f>IF(COUNTIF($A$2:$A$73,A28)&gt;1,"DUPLICATE","")</x:f>
        <x:v>DUPLICATE</x:v>
      </x:c>
      <x:c r="M28" s="12" t="str">
        <x:f>IF(G28&lt;&gt;"Approved","MISSING APPROVAL","")</x:f>
      </x:c>
      <x:c r="N28" s="12" t="str">
        <x:f>IF(AND(H28&lt;&gt;"Yes",E28&lt;DATE(2026,7,1)),"OVERDUE","")</x:f>
      </x:c>
      <x:c r="O28" s="12" t="str">
        <x:f>IF(COUNTIF('Vendor Master'!$A$2:$A$9,B28)=0,"INVALID VENDOR","")</x:f>
      </x:c>
      <x:c r="P28" s="12" t="n">
        <x:f>IF(L28&lt;&gt;"",1,0)+IF(M28&lt;&gt;"",1,0)+IF(N28&lt;&gt;"",1,0)+IF(O28&lt;&gt;"",1,0)</x:f>
        <x:v>1</x:v>
      </x:c>
      <x:c r="Q28" s="12" t="str">
        <x:f>IF(P28=0,"CLEAR","REVIEW")</x:f>
        <x:v>REVIEW</x:v>
      </x:c>
    </x:row>
    <x:row r="29">
      <x:c r="A29" t="str">
        <x:v>INV-1028</x:v>
      </x:c>
      <x:c r="B29" t="str">
        <x:v>V004</x:v>
      </x:c>
      <x:c r="C29" t="str">
        <x:v>Metro Court Reporting</x:v>
      </x:c>
      <x:c r="D29" s="24" t="n">
        <x:v>46133</x:v>
      </x:c>
      <x:c r="E29" s="24" t="n">
        <x:v>46163</x:v>
      </x:c>
      <x:c r="F29" s="26" t="n">
        <x:v>1025</x:v>
      </x:c>
      <x:c r="G29" t="str">
        <x:v>Approved</x:v>
      </x:c>
      <x:c r="H29" t="str">
        <x:v>Yes</x:v>
      </x:c>
      <x:c r="I29" s="24" t="n">
        <x:v>46153</x:v>
      </x:c>
      <x:c r="J29" t="str">
        <x:v>M-2427</x:v>
      </x:c>
      <x:c r="K29" t="str">
        <x:v>Outside Services</x:v>
      </x:c>
      <x:c r="L29" s="12" t="str">
        <x:f>IF(COUNTIF($A$2:$A$73,A29)&gt;1,"DUPLICATE","")</x:f>
      </x:c>
      <x:c r="M29" s="12" t="str">
        <x:f>IF(G29&lt;&gt;"Approved","MISSING APPROVAL","")</x:f>
      </x:c>
      <x:c r="N29" s="12" t="str">
        <x:f>IF(AND(H29&lt;&gt;"Yes",E29&lt;DATE(2026,7,1)),"OVERDUE","")</x:f>
      </x:c>
      <x:c r="O29" s="12" t="str">
        <x:f>IF(COUNTIF('Vendor Master'!$A$2:$A$9,B29)=0,"INVALID VENDOR","")</x:f>
      </x:c>
      <x:c r="P29" s="12" t="n">
        <x:f>IF(L29&lt;&gt;"",1,0)+IF(M29&lt;&gt;"",1,0)+IF(N29&lt;&gt;"",1,0)+IF(O29&lt;&gt;"",1,0)</x:f>
        <x:v>0</x:v>
      </x:c>
      <x:c r="Q29" s="12" t="str">
        <x:f>IF(P29=0,"CLEAR","REVIEW")</x:f>
        <x:v>CLEAR</x:v>
      </x:c>
    </x:row>
    <x:row r="30">
      <x:c r="A30" t="str">
        <x:v>INV-1029</x:v>
      </x:c>
      <x:c r="B30" t="str">
        <x:v>V005</x:v>
      </x:c>
      <x:c r="C30" t="str">
        <x:v>Bluebird Property Mgmt</x:v>
      </x:c>
      <x:c r="D30" s="24" t="n">
        <x:v>46137</x:v>
      </x:c>
      <x:c r="E30" s="24" t="n">
        <x:v>46167</x:v>
      </x:c>
      <x:c r="F30" s="26" t="n">
        <x:v>2376</x:v>
      </x:c>
      <x:c r="G30" t="str">
        <x:v>Approved</x:v>
      </x:c>
      <x:c r="H30" t="str">
        <x:v>Yes</x:v>
      </x:c>
      <x:c r="I30" s="24" t="n">
        <x:v>46157</x:v>
      </x:c>
      <x:c r="J30" t="str">
        <x:v>M-2428</x:v>
      </x:c>
      <x:c r="K30" t="str">
        <x:v>Rent &amp; Facilities</x:v>
      </x:c>
      <x:c r="L30" s="12" t="str">
        <x:f>IF(COUNTIF($A$2:$A$73,A30)&gt;1,"DUPLICATE","")</x:f>
      </x:c>
      <x:c r="M30" s="12" t="str">
        <x:f>IF(G30&lt;&gt;"Approved","MISSING APPROVAL","")</x:f>
      </x:c>
      <x:c r="N30" s="12" t="str">
        <x:f>IF(AND(H30&lt;&gt;"Yes",E30&lt;DATE(2026,7,1)),"OVERDUE","")</x:f>
      </x:c>
      <x:c r="O30" s="12" t="str">
        <x:f>IF(COUNTIF('Vendor Master'!$A$2:$A$9,B30)=0,"INVALID VENDOR","")</x:f>
      </x:c>
      <x:c r="P30" s="12" t="n">
        <x:f>IF(L30&lt;&gt;"",1,0)+IF(M30&lt;&gt;"",1,0)+IF(N30&lt;&gt;"",1,0)+IF(O30&lt;&gt;"",1,0)</x:f>
        <x:v>0</x:v>
      </x:c>
      <x:c r="Q30" s="12" t="str">
        <x:f>IF(P30=0,"CLEAR","REVIEW")</x:f>
        <x:v>CLEAR</x:v>
      </x:c>
    </x:row>
    <x:row r="31">
      <x:c r="A31" t="str">
        <x:v>INV-1030</x:v>
      </x:c>
      <x:c r="B31" t="str">
        <x:v>V006</x:v>
      </x:c>
      <x:c r="C31" t="str">
        <x:v>Atlantic Travel Desk</x:v>
      </x:c>
      <x:c r="D31" s="24" t="n">
        <x:v>46141</x:v>
      </x:c>
      <x:c r="E31" s="24" t="n">
        <x:v>46156</x:v>
      </x:c>
      <x:c r="F31" s="26" t="n">
        <x:v>2916</x:v>
      </x:c>
      <x:c r="G31" t="str">
        <x:v>Approved</x:v>
      </x:c>
      <x:c r="H31" t="str">
        <x:v>Yes</x:v>
      </x:c>
      <x:c r="I31" s="24" t="n">
        <x:v>46154</x:v>
      </x:c>
      <x:c r="J31" t="str">
        <x:v>M-2429</x:v>
      </x:c>
      <x:c r="K31" t="str">
        <x:v>Travel</x:v>
      </x:c>
      <x:c r="L31" s="12" t="str">
        <x:f>IF(COUNTIF($A$2:$A$73,A31)&gt;1,"DUPLICATE","")</x:f>
      </x:c>
      <x:c r="M31" s="12" t="str">
        <x:f>IF(G31&lt;&gt;"Approved","MISSING APPROVAL","")</x:f>
      </x:c>
      <x:c r="N31" s="12" t="str">
        <x:f>IF(AND(H31&lt;&gt;"Yes",E31&lt;DATE(2026,7,1)),"OVERDUE","")</x:f>
      </x:c>
      <x:c r="O31" s="12" t="str">
        <x:f>IF(COUNTIF('Vendor Master'!$A$2:$A$9,B31)=0,"INVALID VENDOR","")</x:f>
      </x:c>
      <x:c r="P31" s="12" t="n">
        <x:f>IF(L31&lt;&gt;"",1,0)+IF(M31&lt;&gt;"",1,0)+IF(N31&lt;&gt;"",1,0)+IF(O31&lt;&gt;"",1,0)</x:f>
        <x:v>0</x:v>
      </x:c>
      <x:c r="Q31" s="12" t="str">
        <x:f>IF(P31=0,"CLEAR","REVIEW")</x:f>
        <x:v>CLEAR</x:v>
      </x:c>
    </x:row>
    <x:row r="32">
      <x:c r="A32" t="str">
        <x:v>INV-1031</x:v>
      </x:c>
      <x:c r="B32" t="str">
        <x:v>V007</x:v>
      </x:c>
      <x:c r="C32" t="str">
        <x:v>Evergreen Records</x:v>
      </x:c>
      <x:c r="D32" s="24" t="n">
        <x:v>46145</x:v>
      </x:c>
      <x:c r="E32" s="24" t="n">
        <x:v>46175</x:v>
      </x:c>
      <x:c r="F32" s="26" t="n">
        <x:v>5145</x:v>
      </x:c>
      <x:c r="G32" t="str">
        <x:v>Approved</x:v>
      </x:c>
      <x:c r="H32" t="str">
        <x:v>Yes</x:v>
      </x:c>
      <x:c r="I32" s="24" t="n">
        <x:v>46165</x:v>
      </x:c>
      <x:c r="J32" t="str">
        <x:v>M-2430</x:v>
      </x:c>
      <x:c r="K32" t="str">
        <x:v>Records &amp; Storage</x:v>
      </x:c>
      <x:c r="L32" s="12" t="str">
        <x:f>IF(COUNTIF($A$2:$A$73,A32)&gt;1,"DUPLICATE","")</x:f>
      </x:c>
      <x:c r="M32" s="12" t="str">
        <x:f>IF(G32&lt;&gt;"Approved","MISSING APPROVAL","")</x:f>
      </x:c>
      <x:c r="N32" s="12" t="str">
        <x:f>IF(AND(H32&lt;&gt;"Yes",E32&lt;DATE(2026,7,1)),"OVERDUE","")</x:f>
      </x:c>
      <x:c r="O32" s="12" t="str">
        <x:f>IF(COUNTIF('Vendor Master'!$A$2:$A$9,B32)=0,"INVALID VENDOR","")</x:f>
      </x:c>
      <x:c r="P32" s="12" t="n">
        <x:f>IF(L32&lt;&gt;"",1,0)+IF(M32&lt;&gt;"",1,0)+IF(N32&lt;&gt;"",1,0)+IF(O32&lt;&gt;"",1,0)</x:f>
        <x:v>0</x:v>
      </x:c>
      <x:c r="Q32" s="12" t="str">
        <x:f>IF(P32=0,"CLEAR","REVIEW")</x:f>
        <x:v>CLEAR</x:v>
      </x:c>
    </x:row>
    <x:row r="33">
      <x:c r="A33" t="str">
        <x:v>INV-1032</x:v>
      </x:c>
      <x:c r="B33" t="str">
        <x:v>V008</x:v>
      </x:c>
      <x:c r="C33" t="str">
        <x:v>Civic Print House</x:v>
      </x:c>
      <x:c r="D33" s="24" t="n">
        <x:v>46149</x:v>
      </x:c>
      <x:c r="E33" s="24" t="n">
        <x:v>46179</x:v>
      </x:c>
      <x:c r="F33" s="26" t="n">
        <x:v>5440</x:v>
      </x:c>
      <x:c r="G33" t="str">
        <x:v>Approved</x:v>
      </x:c>
      <x:c r="H33" t="str">
        <x:v>Yes</x:v>
      </x:c>
      <x:c r="I33" s="24" t="n">
        <x:v>46169</x:v>
      </x:c>
      <x:c r="J33" t="str">
        <x:v>M-2431</x:v>
      </x:c>
      <x:c r="K33" t="str">
        <x:v>Printing &amp; Copying</x:v>
      </x:c>
      <x:c r="L33" s="12" t="str">
        <x:f>IF(COUNTIF($A$2:$A$73,A33)&gt;1,"DUPLICATE","")</x:f>
      </x:c>
      <x:c r="M33" s="12" t="str">
        <x:f>IF(G33&lt;&gt;"Approved","MISSING APPROVAL","")</x:f>
      </x:c>
      <x:c r="N33" s="12" t="str">
        <x:f>IF(AND(H33&lt;&gt;"Yes",E33&lt;DATE(2026,7,1)),"OVERDUE","")</x:f>
      </x:c>
      <x:c r="O33" s="12" t="str">
        <x:f>IF(COUNTIF('Vendor Master'!$A$2:$A$9,B33)=0,"INVALID VENDOR","")</x:f>
      </x:c>
      <x:c r="P33" s="12" t="n">
        <x:f>IF(L33&lt;&gt;"",1,0)+IF(M33&lt;&gt;"",1,0)+IF(N33&lt;&gt;"",1,0)+IF(O33&lt;&gt;"",1,0)</x:f>
        <x:v>0</x:v>
      </x:c>
      <x:c r="Q33" s="12" t="str">
        <x:f>IF(P33=0,"CLEAR","REVIEW")</x:f>
        <x:v>CLEAR</x:v>
      </x:c>
    </x:row>
    <x:row r="34">
      <x:c r="A34" t="str">
        <x:v>INV-1033</x:v>
      </x:c>
      <x:c r="B34" t="str">
        <x:v>V001</x:v>
      </x:c>
      <x:c r="C34" t="str">
        <x:v>Lexis Research Services</x:v>
      </x:c>
      <x:c r="D34" s="24" t="n">
        <x:v>46153</x:v>
      </x:c>
      <x:c r="E34" s="24" t="n">
        <x:v>46183</x:v>
      </x:c>
      <x:c r="F34" s="26" t="n">
        <x:v>179.45</x:v>
      </x:c>
      <x:c r="G34" t="str">
        <x:v>Approved</x:v>
      </x:c>
      <x:c r="H34" t="str">
        <x:v>Yes</x:v>
      </x:c>
      <x:c r="I34" s="24" t="n">
        <x:v>46173</x:v>
      </x:c>
      <x:c r="J34" t="str">
        <x:v>M-2432</x:v>
      </x:c>
      <x:c r="K34" t="str">
        <x:v>Research &amp; Subscriptions</x:v>
      </x:c>
      <x:c r="L34" s="12" t="str">
        <x:f>IF(COUNTIF($A$2:$A$73,A34)&gt;1,"DUPLICATE","")</x:f>
      </x:c>
      <x:c r="M34" s="12" t="str">
        <x:f>IF(G34&lt;&gt;"Approved","MISSING APPROVAL","")</x:f>
      </x:c>
      <x:c r="N34" s="12" t="str">
        <x:f>IF(AND(H34&lt;&gt;"Yes",E34&lt;DATE(2026,7,1)),"OVERDUE","")</x:f>
      </x:c>
      <x:c r="O34" s="12" t="str">
        <x:f>IF(COUNTIF('Vendor Master'!$A$2:$A$9,B34)=0,"INVALID VENDOR","")</x:f>
      </x:c>
      <x:c r="P34" s="12" t="n">
        <x:f>IF(L34&lt;&gt;"",1,0)+IF(M34&lt;&gt;"",1,0)+IF(N34&lt;&gt;"",1,0)+IF(O34&lt;&gt;"",1,0)</x:f>
        <x:v>0</x:v>
      </x:c>
      <x:c r="Q34" s="12" t="str">
        <x:f>IF(P34=0,"CLEAR","REVIEW")</x:f>
        <x:v>CLEAR</x:v>
      </x:c>
    </x:row>
    <x:row r="35">
      <x:c r="A35" t="str">
        <x:v>INV-1034</x:v>
      </x:c>
      <x:c r="B35" t="str">
        <x:v>V002</x:v>
      </x:c>
      <x:c r="C35" t="str">
        <x:v>Capitol Office Supply</x:v>
      </x:c>
      <x:c r="D35" s="24" t="n">
        <x:v>46157</x:v>
      </x:c>
      <x:c r="E35" s="24" t="n">
        <x:v>46187</x:v>
      </x:c>
      <x:c r="F35" s="26" t="n">
        <x:v>331.8</x:v>
      </x:c>
      <x:c r="G35" t="str">
        <x:v>Approved</x:v>
      </x:c>
      <x:c r="H35" t="str">
        <x:v>Yes</x:v>
      </x:c>
      <x:c r="I35" s="24" t="n">
        <x:v>46177</x:v>
      </x:c>
      <x:c r="J35" t="str">
        <x:v>M-2433</x:v>
      </x:c>
      <x:c r="K35" t="str">
        <x:v>Office Supplies</x:v>
      </x:c>
      <x:c r="L35" s="12" t="str">
        <x:f>IF(COUNTIF($A$2:$A$73,A35)&gt;1,"DUPLICATE","")</x:f>
      </x:c>
      <x:c r="M35" s="12" t="str">
        <x:f>IF(G35&lt;&gt;"Approved","MISSING APPROVAL","")</x:f>
      </x:c>
      <x:c r="N35" s="12" t="str">
        <x:f>IF(AND(H35&lt;&gt;"Yes",E35&lt;DATE(2026,7,1)),"OVERDUE","")</x:f>
      </x:c>
      <x:c r="O35" s="12" t="str">
        <x:f>IF(COUNTIF('Vendor Master'!$A$2:$A$9,B35)=0,"INVALID VENDOR","")</x:f>
      </x:c>
      <x:c r="P35" s="12" t="n">
        <x:f>IF(L35&lt;&gt;"",1,0)+IF(M35&lt;&gt;"",1,0)+IF(N35&lt;&gt;"",1,0)+IF(O35&lt;&gt;"",1,0)</x:f>
        <x:v>0</x:v>
      </x:c>
      <x:c r="Q35" s="12" t="str">
        <x:f>IF(P35=0,"CLEAR","REVIEW")</x:f>
        <x:v>CLEAR</x:v>
      </x:c>
    </x:row>
    <x:row r="36">
      <x:c r="A36" t="str">
        <x:v>INV-1035</x:v>
      </x:c>
      <x:c r="B36" t="str">
        <x:v>V003</x:v>
      </x:c>
      <x:c r="C36" t="str">
        <x:v>Harbor IT Solutions</x:v>
      </x:c>
      <x:c r="D36" s="24" t="n">
        <x:v>46161</x:v>
      </x:c>
      <x:c r="E36" s="24" t="n">
        <x:v>46176</x:v>
      </x:c>
      <x:c r="F36" s="26" t="n">
        <x:v>744</x:v>
      </x:c>
      <x:c r="G36" t="str">
        <x:v>Pending</x:v>
      </x:c>
      <x:c r="H36" t="str">
        <x:v>Yes</x:v>
      </x:c>
      <x:c r="I36" s="24" t="n">
        <x:v>46174</x:v>
      </x:c>
      <x:c r="J36" t="str">
        <x:v>M-2434</x:v>
      </x:c>
      <x:c r="K36" t="str">
        <x:v>IT &amp; Software</x:v>
      </x:c>
      <x:c r="L36" s="12" t="str">
        <x:f>IF(COUNTIF($A$2:$A$73,A36)&gt;1,"DUPLICATE","")</x:f>
      </x:c>
      <x:c r="M36" s="12" t="str">
        <x:f>IF(G36&lt;&gt;"Approved","MISSING APPROVAL","")</x:f>
        <x:v>MISSING APPROVAL</x:v>
      </x:c>
      <x:c r="N36" s="12" t="str">
        <x:f>IF(AND(H36&lt;&gt;"Yes",E36&lt;DATE(2026,7,1)),"OVERDUE","")</x:f>
      </x:c>
      <x:c r="O36" s="12" t="str">
        <x:f>IF(COUNTIF('Vendor Master'!$A$2:$A$9,B36)=0,"INVALID VENDOR","")</x:f>
      </x:c>
      <x:c r="P36" s="12" t="n">
        <x:f>IF(L36&lt;&gt;"",1,0)+IF(M36&lt;&gt;"",1,0)+IF(N36&lt;&gt;"",1,0)+IF(O36&lt;&gt;"",1,0)</x:f>
        <x:v>1</x:v>
      </x:c>
      <x:c r="Q36" s="12" t="str">
        <x:f>IF(P36=0,"CLEAR","REVIEW")</x:f>
        <x:v>REVIEW</x:v>
      </x:c>
    </x:row>
    <x:row r="37">
      <x:c r="A37" t="str">
        <x:v>INV-1036</x:v>
      </x:c>
      <x:c r="B37" t="str">
        <x:v>V004</x:v>
      </x:c>
      <x:c r="C37" t="str">
        <x:v>Metro Court Reporting</x:v>
      </x:c>
      <x:c r="D37" s="24" t="n">
        <x:v>46165</x:v>
      </x:c>
      <x:c r="E37" s="24" t="n">
        <x:v>46195</x:v>
      </x:c>
      <x:c r="F37" s="26" t="n">
        <x:v>975</x:v>
      </x:c>
      <x:c r="G37" t="str">
        <x:v>Approved</x:v>
      </x:c>
      <x:c r="H37" t="str">
        <x:v>Yes</x:v>
      </x:c>
      <x:c r="I37" s="24" t="n">
        <x:v>46185</x:v>
      </x:c>
      <x:c r="J37" t="str">
        <x:v>M-2435</x:v>
      </x:c>
      <x:c r="K37" t="str">
        <x:v>Outside Services</x:v>
      </x:c>
      <x:c r="L37" s="12" t="str">
        <x:f>IF(COUNTIF($A$2:$A$73,A37)&gt;1,"DUPLICATE","")</x:f>
      </x:c>
      <x:c r="M37" s="12" t="str">
        <x:f>IF(G37&lt;&gt;"Approved","MISSING APPROVAL","")</x:f>
      </x:c>
      <x:c r="N37" s="12" t="str">
        <x:f>IF(AND(H37&lt;&gt;"Yes",E37&lt;DATE(2026,7,1)),"OVERDUE","")</x:f>
      </x:c>
      <x:c r="O37" s="12" t="str">
        <x:f>IF(COUNTIF('Vendor Master'!$A$2:$A$9,B37)=0,"INVALID VENDOR","")</x:f>
      </x:c>
      <x:c r="P37" s="12" t="n">
        <x:f>IF(L37&lt;&gt;"",1,0)+IF(M37&lt;&gt;"",1,0)+IF(N37&lt;&gt;"",1,0)+IF(O37&lt;&gt;"",1,0)</x:f>
        <x:v>0</x:v>
      </x:c>
      <x:c r="Q37" s="12" t="str">
        <x:f>IF(P37=0,"CLEAR","REVIEW")</x:f>
        <x:v>CLEAR</x:v>
      </x:c>
    </x:row>
    <x:row r="38">
      <x:c r="A38" t="str">
        <x:v>INV-1037</x:v>
      </x:c>
      <x:c r="B38" t="str">
        <x:v>V005</x:v>
      </x:c>
      <x:c r="C38" t="str">
        <x:v>Bluebird Property Mgmt</x:v>
      </x:c>
      <x:c r="D38" s="24" t="n">
        <x:v>46169</x:v>
      </x:c>
      <x:c r="E38" s="24" t="n">
        <x:v>46199</x:v>
      </x:c>
      <x:c r="F38" s="26" t="n">
        <x:v>2280</x:v>
      </x:c>
      <x:c r="G38" t="str">
        <x:v>Approved</x:v>
      </x:c>
      <x:c r="H38" t="str">
        <x:v>Yes</x:v>
      </x:c>
      <x:c r="I38" s="24" t="n">
        <x:v>46189</x:v>
      </x:c>
      <x:c r="J38" t="str">
        <x:v>M-2436</x:v>
      </x:c>
      <x:c r="K38" t="str">
        <x:v>Rent &amp; Facilities</x:v>
      </x:c>
      <x:c r="L38" s="12" t="str">
        <x:f>IF(COUNTIF($A$2:$A$73,A38)&gt;1,"DUPLICATE","")</x:f>
      </x:c>
      <x:c r="M38" s="12" t="str">
        <x:f>IF(G38&lt;&gt;"Approved","MISSING APPROVAL","")</x:f>
      </x:c>
      <x:c r="N38" s="12" t="str">
        <x:f>IF(AND(H38&lt;&gt;"Yes",E38&lt;DATE(2026,7,1)),"OVERDUE","")</x:f>
      </x:c>
      <x:c r="O38" s="12" t="str">
        <x:f>IF(COUNTIF('Vendor Master'!$A$2:$A$9,B38)=0,"INVALID VENDOR","")</x:f>
      </x:c>
      <x:c r="P38" s="12" t="n">
        <x:f>IF(L38&lt;&gt;"",1,0)+IF(M38&lt;&gt;"",1,0)+IF(N38&lt;&gt;"",1,0)+IF(O38&lt;&gt;"",1,0)</x:f>
        <x:v>0</x:v>
      </x:c>
      <x:c r="Q38" s="12" t="str">
        <x:f>IF(P38=0,"CLEAR","REVIEW")</x:f>
        <x:v>CLEAR</x:v>
      </x:c>
    </x:row>
    <x:row r="39">
      <x:c r="A39" t="str">
        <x:v>INV-1038</x:v>
      </x:c>
      <x:c r="B39" t="str">
        <x:v>V006</x:v>
      </x:c>
      <x:c r="C39" t="str">
        <x:v>Atlantic Travel Desk</x:v>
      </x:c>
      <x:c r="D39" s="24" t="n">
        <x:v>46173</x:v>
      </x:c>
      <x:c r="E39" s="24" t="n">
        <x:v>46188</x:v>
      </x:c>
      <x:c r="F39" s="26" t="n">
        <x:v>4032</x:v>
      </x:c>
      <x:c r="G39" t="str">
        <x:v>Approved</x:v>
      </x:c>
      <x:c r="H39" t="str">
        <x:v>Yes</x:v>
      </x:c>
      <x:c r="I39" s="24" t="n">
        <x:v>46186</x:v>
      </x:c>
      <x:c r="J39" t="str">
        <x:v>M-2437</x:v>
      </x:c>
      <x:c r="K39" t="str">
        <x:v>Travel</x:v>
      </x:c>
      <x:c r="L39" s="12" t="str">
        <x:f>IF(COUNTIF($A$2:$A$73,A39)&gt;1,"DUPLICATE","")</x:f>
      </x:c>
      <x:c r="M39" s="12" t="str">
        <x:f>IF(G39&lt;&gt;"Approved","MISSING APPROVAL","")</x:f>
      </x:c>
      <x:c r="N39" s="12" t="str">
        <x:f>IF(AND(H39&lt;&gt;"Yes",E39&lt;DATE(2026,7,1)),"OVERDUE","")</x:f>
      </x:c>
      <x:c r="O39" s="12" t="str">
        <x:f>IF(COUNTIF('Vendor Master'!$A$2:$A$9,B39)=0,"INVALID VENDOR","")</x:f>
      </x:c>
      <x:c r="P39" s="12" t="n">
        <x:f>IF(L39&lt;&gt;"",1,0)+IF(M39&lt;&gt;"",1,0)+IF(N39&lt;&gt;"",1,0)+IF(O39&lt;&gt;"",1,0)</x:f>
        <x:v>0</x:v>
      </x:c>
      <x:c r="Q39" s="12" t="str">
        <x:f>IF(P39=0,"CLEAR","REVIEW")</x:f>
        <x:v>CLEAR</x:v>
      </x:c>
    </x:row>
    <x:row r="40">
      <x:c r="A40" t="str">
        <x:v>INV-1039</x:v>
      </x:c>
      <x:c r="B40" t="str">
        <x:v>V007</x:v>
      </x:c>
      <x:c r="C40" t="str">
        <x:v>Evergreen Records</x:v>
      </x:c>
      <x:c r="D40" s="24" t="n">
        <x:v>46177</x:v>
      </x:c>
      <x:c r="E40" s="24" t="n">
        <x:v>46207</x:v>
      </x:c>
      <x:c r="F40" s="26" t="n">
        <x:v>4935</x:v>
      </x:c>
      <x:c r="G40" t="str">
        <x:v>Approved</x:v>
      </x:c>
      <x:c r="H40" t="str">
        <x:v>Yes</x:v>
      </x:c>
      <x:c r="I40" s="24" t="n">
        <x:v>46197</x:v>
      </x:c>
      <x:c r="J40" t="str">
        <x:v>M-2438</x:v>
      </x:c>
      <x:c r="K40" t="str">
        <x:v>Records &amp; Storage</x:v>
      </x:c>
      <x:c r="L40" s="12" t="str">
        <x:f>IF(COUNTIF($A$2:$A$73,A40)&gt;1,"DUPLICATE","")</x:f>
      </x:c>
      <x:c r="M40" s="12" t="str">
        <x:f>IF(G40&lt;&gt;"Approved","MISSING APPROVAL","")</x:f>
      </x:c>
      <x:c r="N40" s="12" t="str">
        <x:f>IF(AND(H40&lt;&gt;"Yes",E40&lt;DATE(2026,7,1)),"OVERDUE","")</x:f>
      </x:c>
      <x:c r="O40" s="12" t="str">
        <x:f>IF(COUNTIF('Vendor Master'!$A$2:$A$9,B40)=0,"INVALID VENDOR","")</x:f>
      </x:c>
      <x:c r="P40" s="12" t="n">
        <x:f>IF(L40&lt;&gt;"",1,0)+IF(M40&lt;&gt;"",1,0)+IF(N40&lt;&gt;"",1,0)+IF(O40&lt;&gt;"",1,0)</x:f>
        <x:v>0</x:v>
      </x:c>
      <x:c r="Q40" s="12" t="str">
        <x:f>IF(P40=0,"CLEAR","REVIEW")</x:f>
        <x:v>CLEAR</x:v>
      </x:c>
    </x:row>
    <x:row r="41">
      <x:c r="A41" t="str">
        <x:v>INV-1040</x:v>
      </x:c>
      <x:c r="B41" t="str">
        <x:v>V008</x:v>
      </x:c>
      <x:c r="C41" t="str">
        <x:v>Civic Print House</x:v>
      </x:c>
      <x:c r="D41" s="24" t="n">
        <x:v>46181</x:v>
      </x:c>
      <x:c r="E41" s="24" t="n">
        <x:v>46211</x:v>
      </x:c>
      <x:c r="F41" s="26" t="n">
        <x:v>7548</x:v>
      </x:c>
      <x:c r="G41" t="str">
        <x:v>Approved</x:v>
      </x:c>
      <x:c r="H41" t="str">
        <x:v>Yes</x:v>
      </x:c>
      <x:c r="I41" s="24" t="n">
        <x:v>46201</x:v>
      </x:c>
      <x:c r="J41" t="str">
        <x:v>M-2439</x:v>
      </x:c>
      <x:c r="K41" t="str">
        <x:v>Printing &amp; Copying</x:v>
      </x:c>
      <x:c r="L41" s="12" t="str">
        <x:f>IF(COUNTIF($A$2:$A$73,A41)&gt;1,"DUPLICATE","")</x:f>
      </x:c>
      <x:c r="M41" s="12" t="str">
        <x:f>IF(G41&lt;&gt;"Approved","MISSING APPROVAL","")</x:f>
      </x:c>
      <x:c r="N41" s="12" t="str">
        <x:f>IF(AND(H41&lt;&gt;"Yes",E41&lt;DATE(2026,7,1)),"OVERDUE","")</x:f>
      </x:c>
      <x:c r="O41" s="12" t="str">
        <x:f>IF(COUNTIF('Vendor Master'!$A$2:$A$9,B41)=0,"INVALID VENDOR","")</x:f>
      </x:c>
      <x:c r="P41" s="12" t="n">
        <x:f>IF(L41&lt;&gt;"",1,0)+IF(M41&lt;&gt;"",1,0)+IF(N41&lt;&gt;"",1,0)+IF(O41&lt;&gt;"",1,0)</x:f>
        <x:v>0</x:v>
      </x:c>
      <x:c r="Q41" s="12" t="str">
        <x:f>IF(P41=0,"CLEAR","REVIEW")</x:f>
        <x:v>CLEAR</x:v>
      </x:c>
    </x:row>
    <x:row r="42">
      <x:c r="A42" t="str">
        <x:v>INV-1041</x:v>
      </x:c>
      <x:c r="B42" t="str">
        <x:v>V001</x:v>
      </x:c>
      <x:c r="C42" t="str">
        <x:v>Lexis Research Services</x:v>
      </x:c>
      <x:c r="D42" s="24" t="n">
        <x:v>46185</x:v>
      </x:c>
      <x:c r="E42" s="24" t="n">
        <x:v>46215</x:v>
      </x:c>
      <x:c r="F42" s="26" t="n">
        <x:v>172.05</x:v>
      </x:c>
      <x:c r="G42" t="str">
        <x:v>Approved</x:v>
      </x:c>
      <x:c r="H42" t="str">
        <x:v>Yes</x:v>
      </x:c>
      <x:c r="I42" s="24" t="n">
        <x:v>46205</x:v>
      </x:c>
      <x:c r="J42" t="str">
        <x:v>M-2440</x:v>
      </x:c>
      <x:c r="K42" t="str">
        <x:v>Research &amp; Subscriptions</x:v>
      </x:c>
      <x:c r="L42" s="12" t="str">
        <x:f>IF(COUNTIF($A$2:$A$73,A42)&gt;1,"DUPLICATE","")</x:f>
      </x:c>
      <x:c r="M42" s="12" t="str">
        <x:f>IF(G42&lt;&gt;"Approved","MISSING APPROVAL","")</x:f>
      </x:c>
      <x:c r="N42" s="12" t="str">
        <x:f>IF(AND(H42&lt;&gt;"Yes",E42&lt;DATE(2026,7,1)),"OVERDUE","")</x:f>
      </x:c>
      <x:c r="O42" s="12" t="str">
        <x:f>IF(COUNTIF('Vendor Master'!$A$2:$A$9,B42)=0,"INVALID VENDOR","")</x:f>
      </x:c>
      <x:c r="P42" s="12" t="n">
        <x:f>IF(L42&lt;&gt;"",1,0)+IF(M42&lt;&gt;"",1,0)+IF(N42&lt;&gt;"",1,0)+IF(O42&lt;&gt;"",1,0)</x:f>
        <x:v>0</x:v>
      </x:c>
      <x:c r="Q42" s="12" t="str">
        <x:f>IF(P42=0,"CLEAR","REVIEW")</x:f>
        <x:v>CLEAR</x:v>
      </x:c>
    </x:row>
    <x:row r="43">
      <x:c r="A43" t="str">
        <x:v>INV-1042</x:v>
      </x:c>
      <x:c r="B43" t="str">
        <x:v>V002</x:v>
      </x:c>
      <x:c r="C43" t="str">
        <x:v>Capitol Office Supply</x:v>
      </x:c>
      <x:c r="D43" s="24" t="n">
        <x:v>46189</x:v>
      </x:c>
      <x:c r="E43" s="24" t="n">
        <x:v>46219</x:v>
      </x:c>
      <x:c r="F43" s="26" t="n">
        <x:v>462</x:v>
      </x:c>
      <x:c r="G43" t="str">
        <x:v>Approved</x:v>
      </x:c>
      <x:c r="H43" t="str">
        <x:v>No</x:v>
      </x:c>
      <x:c r="I43" s="24"/>
      <x:c r="J43" t="str">
        <x:v>M-2441</x:v>
      </x:c>
      <x:c r="K43" t="str">
        <x:v>Office Supplies</x:v>
      </x:c>
      <x:c r="L43" s="12" t="str">
        <x:f>IF(COUNTIF($A$2:$A$73,A43)&gt;1,"DUPLICATE","")</x:f>
      </x:c>
      <x:c r="M43" s="12" t="str">
        <x:f>IF(G43&lt;&gt;"Approved","MISSING APPROVAL","")</x:f>
      </x:c>
      <x:c r="N43" s="12" t="str">
        <x:f>IF(AND(H43&lt;&gt;"Yes",E43&lt;DATE(2026,7,1)),"OVERDUE","")</x:f>
      </x:c>
      <x:c r="O43" s="12" t="str">
        <x:f>IF(COUNTIF('Vendor Master'!$A$2:$A$9,B43)=0,"INVALID VENDOR","")</x:f>
      </x:c>
      <x:c r="P43" s="12" t="n">
        <x:f>IF(L43&lt;&gt;"",1,0)+IF(M43&lt;&gt;"",1,0)+IF(N43&lt;&gt;"",1,0)+IF(O43&lt;&gt;"",1,0)</x:f>
        <x:v>0</x:v>
      </x:c>
      <x:c r="Q43" s="12" t="str">
        <x:f>IF(P43=0,"CLEAR","REVIEW")</x:f>
        <x:v>CLEAR</x:v>
      </x:c>
    </x:row>
    <x:row r="44">
      <x:c r="A44" t="str">
        <x:v>INV-1043</x:v>
      </x:c>
      <x:c r="B44" t="str">
        <x:v>V003</x:v>
      </x:c>
      <x:c r="C44" t="str">
        <x:v>Harbor IT Solutions</x:v>
      </x:c>
      <x:c r="D44" s="24" t="n">
        <x:v>46193</x:v>
      </x:c>
      <x:c r="E44" s="24" t="n">
        <x:v>46208</x:v>
      </x:c>
      <x:c r="F44" s="26" t="n">
        <x:v>713</x:v>
      </x:c>
      <x:c r="G44" t="str">
        <x:v>Approved</x:v>
      </x:c>
      <x:c r="H44" t="str">
        <x:v>Yes</x:v>
      </x:c>
      <x:c r="I44" s="24" t="n">
        <x:v>46206</x:v>
      </x:c>
      <x:c r="J44" t="str">
        <x:v>M-2442</x:v>
      </x:c>
      <x:c r="K44" t="str">
        <x:v>IT &amp; Software</x:v>
      </x:c>
      <x:c r="L44" s="12" t="str">
        <x:f>IF(COUNTIF($A$2:$A$73,A44)&gt;1,"DUPLICATE","")</x:f>
      </x:c>
      <x:c r="M44" s="12" t="str">
        <x:f>IF(G44&lt;&gt;"Approved","MISSING APPROVAL","")</x:f>
      </x:c>
      <x:c r="N44" s="12" t="str">
        <x:f>IF(AND(H44&lt;&gt;"Yes",E44&lt;DATE(2026,7,1)),"OVERDUE","")</x:f>
      </x:c>
      <x:c r="O44" s="12" t="str">
        <x:f>IF(COUNTIF('Vendor Master'!$A$2:$A$9,B44)=0,"INVALID VENDOR","")</x:f>
      </x:c>
      <x:c r="P44" s="12" t="n">
        <x:f>IF(L44&lt;&gt;"",1,0)+IF(M44&lt;&gt;"",1,0)+IF(N44&lt;&gt;"",1,0)+IF(O44&lt;&gt;"",1,0)</x:f>
        <x:v>0</x:v>
      </x:c>
      <x:c r="Q44" s="12" t="str">
        <x:f>IF(P44=0,"CLEAR","REVIEW")</x:f>
        <x:v>CLEAR</x:v>
      </x:c>
    </x:row>
    <x:row r="45">
      <x:c r="A45" t="str">
        <x:v>INV-1044</x:v>
      </x:c>
      <x:c r="B45" t="str">
        <x:v>V004</x:v>
      </x:c>
      <x:c r="C45" t="str">
        <x:v>Metro Court Reporting</x:v>
      </x:c>
      <x:c r="D45" s="24" t="n">
        <x:v>46197</x:v>
      </x:c>
      <x:c r="E45" s="24" t="n">
        <x:v>46227</x:v>
      </x:c>
      <x:c r="F45" s="26" t="n">
        <x:v>1362.5</x:v>
      </x:c>
      <x:c r="G45" t="str">
        <x:v>Approved</x:v>
      </x:c>
      <x:c r="H45" t="str">
        <x:v>Yes</x:v>
      </x:c>
      <x:c r="I45" s="24" t="n">
        <x:v>46217</x:v>
      </x:c>
      <x:c r="J45" t="str">
        <x:v>M-2443</x:v>
      </x:c>
      <x:c r="K45" t="str">
        <x:v>Outside Services</x:v>
      </x:c>
      <x:c r="L45" s="12" t="str">
        <x:f>IF(COUNTIF($A$2:$A$73,A45)&gt;1,"DUPLICATE","")</x:f>
      </x:c>
      <x:c r="M45" s="12" t="str">
        <x:f>IF(G45&lt;&gt;"Approved","MISSING APPROVAL","")</x:f>
      </x:c>
      <x:c r="N45" s="12" t="str">
        <x:f>IF(AND(H45&lt;&gt;"Yes",E45&lt;DATE(2026,7,1)),"OVERDUE","")</x:f>
      </x:c>
      <x:c r="O45" s="12" t="str">
        <x:f>IF(COUNTIF('Vendor Master'!$A$2:$A$9,B45)=0,"INVALID VENDOR","")</x:f>
      </x:c>
      <x:c r="P45" s="12" t="n">
        <x:f>IF(L45&lt;&gt;"",1,0)+IF(M45&lt;&gt;"",1,0)+IF(N45&lt;&gt;"",1,0)+IF(O45&lt;&gt;"",1,0)</x:f>
        <x:v>0</x:v>
      </x:c>
      <x:c r="Q45" s="12" t="str">
        <x:f>IF(P45=0,"CLEAR","REVIEW")</x:f>
        <x:v>CLEAR</x:v>
      </x:c>
    </x:row>
    <x:row r="46">
      <x:c r="A46" t="str">
        <x:v>INV-1045</x:v>
      </x:c>
      <x:c r="B46" t="str">
        <x:v>V005</x:v>
      </x:c>
      <x:c r="C46" t="str">
        <x:v>Bluebird Property Mgmt</x:v>
      </x:c>
      <x:c r="D46" s="24" t="n">
        <x:v>46113</x:v>
      </x:c>
      <x:c r="E46" s="24" t="n">
        <x:v>46143</x:v>
      </x:c>
      <x:c r="F46" s="26" t="n">
        <x:v>2184</x:v>
      </x:c>
      <x:c r="G46" t="str">
        <x:v>Approved</x:v>
      </x:c>
      <x:c r="H46" t="str">
        <x:v>Yes</x:v>
      </x:c>
      <x:c r="I46" s="24" t="n">
        <x:v>46133</x:v>
      </x:c>
      <x:c r="J46" t="str">
        <x:v>M-2444</x:v>
      </x:c>
      <x:c r="K46" t="str">
        <x:v>Rent &amp; Facilities</x:v>
      </x:c>
      <x:c r="L46" s="12" t="str">
        <x:f>IF(COUNTIF($A$2:$A$73,A46)&gt;1,"DUPLICATE","")</x:f>
      </x:c>
      <x:c r="M46" s="12" t="str">
        <x:f>IF(G46&lt;&gt;"Approved","MISSING APPROVAL","")</x:f>
      </x:c>
      <x:c r="N46" s="12" t="str">
        <x:f>IF(AND(H46&lt;&gt;"Yes",E46&lt;DATE(2026,7,1)),"OVERDUE","")</x:f>
      </x:c>
      <x:c r="O46" s="12" t="str">
        <x:f>IF(COUNTIF('Vendor Master'!$A$2:$A$9,B46)=0,"INVALID VENDOR","")</x:f>
      </x:c>
      <x:c r="P46" s="12" t="n">
        <x:f>IF(L46&lt;&gt;"",1,0)+IF(M46&lt;&gt;"",1,0)+IF(N46&lt;&gt;"",1,0)+IF(O46&lt;&gt;"",1,0)</x:f>
        <x:v>0</x:v>
      </x:c>
      <x:c r="Q46" s="12" t="str">
        <x:f>IF(P46=0,"CLEAR","REVIEW")</x:f>
        <x:v>CLEAR</x:v>
      </x:c>
    </x:row>
    <x:row r="47">
      <x:c r="A47" t="str">
        <x:v>INV-1046</x:v>
      </x:c>
      <x:c r="B47" t="str">
        <x:v>V099</x:v>
      </x:c>
      <x:c r="C47" t="str">
        <x:v>Atlantic Travel Desk</x:v>
      </x:c>
      <x:c r="D47" s="24" t="n">
        <x:v>46117</x:v>
      </x:c>
      <x:c r="E47" s="24" t="n">
        <x:v>46132</x:v>
      </x:c>
      <x:c r="F47" s="26" t="n">
        <x:v>3888</x:v>
      </x:c>
      <x:c r="G47" t="str">
        <x:v>Approved</x:v>
      </x:c>
      <x:c r="H47" t="str">
        <x:v>Yes</x:v>
      </x:c>
      <x:c r="I47" s="24" t="n">
        <x:v>46130</x:v>
      </x:c>
      <x:c r="J47" t="str">
        <x:v>M-2445</x:v>
      </x:c>
      <x:c r="K47" t="str">
        <x:v>Travel</x:v>
      </x:c>
      <x:c r="L47" s="12" t="str">
        <x:f>IF(COUNTIF($A$2:$A$73,A47)&gt;1,"DUPLICATE","")</x:f>
      </x:c>
      <x:c r="M47" s="12" t="str">
        <x:f>IF(G47&lt;&gt;"Approved","MISSING APPROVAL","")</x:f>
      </x:c>
      <x:c r="N47" s="12" t="str">
        <x:f>IF(AND(H47&lt;&gt;"Yes",E47&lt;DATE(2026,7,1)),"OVERDUE","")</x:f>
      </x:c>
      <x:c r="O47" s="12" t="str">
        <x:f>IF(COUNTIF('Vendor Master'!$A$2:$A$9,B47)=0,"INVALID VENDOR","")</x:f>
        <x:v>INVALID VENDOR</x:v>
      </x:c>
      <x:c r="P47" s="12" t="n">
        <x:f>IF(L47&lt;&gt;"",1,0)+IF(M47&lt;&gt;"",1,0)+IF(N47&lt;&gt;"",1,0)+IF(O47&lt;&gt;"",1,0)</x:f>
        <x:v>1</x:v>
      </x:c>
      <x:c r="Q47" s="12" t="str">
        <x:f>IF(P47=0,"CLEAR","REVIEW")</x:f>
        <x:v>REVIEW</x:v>
      </x:c>
    </x:row>
    <x:row r="48">
      <x:c r="A48" t="str">
        <x:v>INV-1047</x:v>
      </x:c>
      <x:c r="B48" t="str">
        <x:v>V007</x:v>
      </x:c>
      <x:c r="C48" t="str">
        <x:v>Evergreen Records</x:v>
      </x:c>
      <x:c r="D48" s="24" t="n">
        <x:v>46121</x:v>
      </x:c>
      <x:c r="E48" s="24" t="n">
        <x:v>46151</x:v>
      </x:c>
      <x:c r="F48" s="26" t="n">
        <x:v>4725</x:v>
      </x:c>
      <x:c r="G48" t="str">
        <x:v>Approved</x:v>
      </x:c>
      <x:c r="H48" t="str">
        <x:v>Yes</x:v>
      </x:c>
      <x:c r="I48" s="24" t="n">
        <x:v>46141</x:v>
      </x:c>
      <x:c r="J48" t="str">
        <x:v>M-2446</x:v>
      </x:c>
      <x:c r="K48" t="str">
        <x:v>Records &amp; Storage</x:v>
      </x:c>
      <x:c r="L48" s="12" t="str">
        <x:f>IF(COUNTIF($A$2:$A$73,A48)&gt;1,"DUPLICATE","")</x:f>
      </x:c>
      <x:c r="M48" s="12" t="str">
        <x:f>IF(G48&lt;&gt;"Approved","MISSING APPROVAL","")</x:f>
      </x:c>
      <x:c r="N48" s="12" t="str">
        <x:f>IF(AND(H48&lt;&gt;"Yes",E48&lt;DATE(2026,7,1)),"OVERDUE","")</x:f>
      </x:c>
      <x:c r="O48" s="12" t="str">
        <x:f>IF(COUNTIF('Vendor Master'!$A$2:$A$9,B48)=0,"INVALID VENDOR","")</x:f>
      </x:c>
      <x:c r="P48" s="12" t="n">
        <x:f>IF(L48&lt;&gt;"",1,0)+IF(M48&lt;&gt;"",1,0)+IF(N48&lt;&gt;"",1,0)+IF(O48&lt;&gt;"",1,0)</x:f>
        <x:v>0</x:v>
      </x:c>
      <x:c r="Q48" s="12" t="str">
        <x:f>IF(P48=0,"CLEAR","REVIEW")</x:f>
        <x:v>CLEAR</x:v>
      </x:c>
    </x:row>
    <x:row r="49">
      <x:c r="A49" t="str">
        <x:v>INV-1048</x:v>
      </x:c>
      <x:c r="B49" t="str">
        <x:v>V008</x:v>
      </x:c>
      <x:c r="C49" t="str">
        <x:v>Civic Print House</x:v>
      </x:c>
      <x:c r="D49" s="24" t="n">
        <x:v>46125</x:v>
      </x:c>
      <x:c r="E49" s="24" t="n">
        <x:v>46155</x:v>
      </x:c>
      <x:c r="F49" s="26" t="n">
        <x:v>7276</x:v>
      </x:c>
      <x:c r="G49" t="str">
        <x:v>Approved</x:v>
      </x:c>
      <x:c r="H49" t="str">
        <x:v>Yes</x:v>
      </x:c>
      <x:c r="I49" s="24" t="n">
        <x:v>46145</x:v>
      </x:c>
      <x:c r="J49" t="str">
        <x:v>M-2447</x:v>
      </x:c>
      <x:c r="K49" t="str">
        <x:v>Printing &amp; Copying</x:v>
      </x:c>
      <x:c r="L49" s="12" t="str">
        <x:f>IF(COUNTIF($A$2:$A$73,A49)&gt;1,"DUPLICATE","")</x:f>
      </x:c>
      <x:c r="M49" s="12" t="str">
        <x:f>IF(G49&lt;&gt;"Approved","MISSING APPROVAL","")</x:f>
      </x:c>
      <x:c r="N49" s="12" t="str">
        <x:f>IF(AND(H49&lt;&gt;"Yes",E49&lt;DATE(2026,7,1)),"OVERDUE","")</x:f>
      </x:c>
      <x:c r="O49" s="12" t="str">
        <x:f>IF(COUNTIF('Vendor Master'!$A$2:$A$9,B49)=0,"INVALID VENDOR","")</x:f>
      </x:c>
      <x:c r="P49" s="12" t="n">
        <x:f>IF(L49&lt;&gt;"",1,0)+IF(M49&lt;&gt;"",1,0)+IF(N49&lt;&gt;"",1,0)+IF(O49&lt;&gt;"",1,0)</x:f>
        <x:v>0</x:v>
      </x:c>
      <x:c r="Q49" s="12" t="str">
        <x:f>IF(P49=0,"CLEAR","REVIEW")</x:f>
        <x:v>CLEAR</x:v>
      </x:c>
    </x:row>
    <x:row r="50">
      <x:c r="A50" t="str">
        <x:v>INV-1049</x:v>
      </x:c>
      <x:c r="B50" t="str">
        <x:v>V001</x:v>
      </x:c>
      <x:c r="C50" t="str">
        <x:v>Lexis Research Services</x:v>
      </x:c>
      <x:c r="D50" s="24" t="n">
        <x:v>46129</x:v>
      </x:c>
      <x:c r="E50" s="24" t="n">
        <x:v>46159</x:v>
      </x:c>
      <x:c r="F50" s="26" t="n">
        <x:v>164.65</x:v>
      </x:c>
      <x:c r="G50" t="str">
        <x:v>Approved</x:v>
      </x:c>
      <x:c r="H50" t="str">
        <x:v>Yes</x:v>
      </x:c>
      <x:c r="I50" s="24" t="n">
        <x:v>46149</x:v>
      </x:c>
      <x:c r="J50" t="str">
        <x:v>M-2448</x:v>
      </x:c>
      <x:c r="K50" t="str">
        <x:v>Research &amp; Subscriptions</x:v>
      </x:c>
      <x:c r="L50" s="12" t="str">
        <x:f>IF(COUNTIF($A$2:$A$73,A50)&gt;1,"DUPLICATE","")</x:f>
      </x:c>
      <x:c r="M50" s="12" t="str">
        <x:f>IF(G50&lt;&gt;"Approved","MISSING APPROVAL","")</x:f>
      </x:c>
      <x:c r="N50" s="12" t="str">
        <x:f>IF(AND(H50&lt;&gt;"Yes",E50&lt;DATE(2026,7,1)),"OVERDUE","")</x:f>
      </x:c>
      <x:c r="O50" s="12" t="str">
        <x:f>IF(COUNTIF('Vendor Master'!$A$2:$A$9,B50)=0,"INVALID VENDOR","")</x:f>
      </x:c>
      <x:c r="P50" s="12" t="n">
        <x:f>IF(L50&lt;&gt;"",1,0)+IF(M50&lt;&gt;"",1,0)+IF(N50&lt;&gt;"",1,0)+IF(O50&lt;&gt;"",1,0)</x:f>
        <x:v>0</x:v>
      </x:c>
      <x:c r="Q50" s="12" t="str">
        <x:f>IF(P50=0,"CLEAR","REVIEW")</x:f>
        <x:v>CLEAR</x:v>
      </x:c>
    </x:row>
    <x:row r="51">
      <x:c r="A51" t="str">
        <x:v>INV-1050</x:v>
      </x:c>
      <x:c r="B51" t="str">
        <x:v>V002</x:v>
      </x:c>
      <x:c r="C51" t="str">
        <x:v>Capitol Office Supply</x:v>
      </x:c>
      <x:c r="D51" s="24" t="n">
        <x:v>46133</x:v>
      </x:c>
      <x:c r="E51" s="24" t="n">
        <x:v>46163</x:v>
      </x:c>
      <x:c r="F51" s="26" t="n">
        <x:v>445.2</x:v>
      </x:c>
      <x:c r="G51" t="str">
        <x:v>Approved</x:v>
      </x:c>
      <x:c r="H51" t="str">
        <x:v>Yes</x:v>
      </x:c>
      <x:c r="I51" s="24" t="n">
        <x:v>46153</x:v>
      </x:c>
      <x:c r="J51" t="str">
        <x:v>M-2449</x:v>
      </x:c>
      <x:c r="K51" t="str">
        <x:v>Miscellaneous</x:v>
      </x:c>
      <x:c r="L51" s="12" t="str">
        <x:f>IF(COUNTIF($A$2:$A$73,A51)&gt;1,"DUPLICATE","")</x:f>
      </x:c>
      <x:c r="M51" s="12" t="str">
        <x:f>IF(G51&lt;&gt;"Approved","MISSING APPROVAL","")</x:f>
      </x:c>
      <x:c r="N51" s="12" t="str">
        <x:f>IF(AND(H51&lt;&gt;"Yes",E51&lt;DATE(2026,7,1)),"OVERDUE","")</x:f>
      </x:c>
      <x:c r="O51" s="12" t="str">
        <x:f>IF(COUNTIF('Vendor Master'!$A$2:$A$9,B51)=0,"INVALID VENDOR","")</x:f>
      </x:c>
      <x:c r="P51" s="12" t="n">
        <x:f>IF(L51&lt;&gt;"",1,0)+IF(M51&lt;&gt;"",1,0)+IF(N51&lt;&gt;"",1,0)+IF(O51&lt;&gt;"",1,0)</x:f>
        <x:v>0</x:v>
      </x:c>
      <x:c r="Q51" s="12" t="str">
        <x:f>IF(P51=0,"CLEAR","REVIEW")</x:f>
        <x:v>CLEAR</x:v>
      </x:c>
    </x:row>
    <x:row r="52">
      <x:c r="A52" t="str">
        <x:v>INV-1051</x:v>
      </x:c>
      <x:c r="B52" t="str">
        <x:v>V003</x:v>
      </x:c>
      <x:c r="C52" t="str">
        <x:v>Harbor IT Solutions</x:v>
      </x:c>
      <x:c r="D52" s="24" t="n">
        <x:v>46137</x:v>
      </x:c>
      <x:c r="E52" s="24" t="n">
        <x:v>46152</x:v>
      </x:c>
      <x:c r="F52" s="26" t="n">
        <x:v>682</x:v>
      </x:c>
      <x:c r="G52" t="str">
        <x:v>Approved</x:v>
      </x:c>
      <x:c r="H52" t="str">
        <x:v>Yes</x:v>
      </x:c>
      <x:c r="I52" s="24" t="n">
        <x:v>46150</x:v>
      </x:c>
      <x:c r="J52" t="str">
        <x:v>M-2450</x:v>
      </x:c>
      <x:c r="K52" t="str">
        <x:v>IT &amp; Software</x:v>
      </x:c>
      <x:c r="L52" s="12" t="str">
        <x:f>IF(COUNTIF($A$2:$A$73,A52)&gt;1,"DUPLICATE","")</x:f>
      </x:c>
      <x:c r="M52" s="12" t="str">
        <x:f>IF(G52&lt;&gt;"Approved","MISSING APPROVAL","")</x:f>
      </x:c>
      <x:c r="N52" s="12" t="str">
        <x:f>IF(AND(H52&lt;&gt;"Yes",E52&lt;DATE(2026,7,1)),"OVERDUE","")</x:f>
      </x:c>
      <x:c r="O52" s="12" t="str">
        <x:f>IF(COUNTIF('Vendor Master'!$A$2:$A$9,B52)=0,"INVALID VENDOR","")</x:f>
      </x:c>
      <x:c r="P52" s="12" t="n">
        <x:f>IF(L52&lt;&gt;"",1,0)+IF(M52&lt;&gt;"",1,0)+IF(N52&lt;&gt;"",1,0)+IF(O52&lt;&gt;"",1,0)</x:f>
        <x:v>0</x:v>
      </x:c>
      <x:c r="Q52" s="12" t="str">
        <x:f>IF(P52=0,"CLEAR","REVIEW")</x:f>
        <x:v>CLEAR</x:v>
      </x:c>
    </x:row>
    <x:row r="53">
      <x:c r="A53" t="str">
        <x:v>INV-1052</x:v>
      </x:c>
      <x:c r="B53" t="str">
        <x:v>V004</x:v>
      </x:c>
      <x:c r="C53" t="str">
        <x:v>Metro Court Reporting</x:v>
      </x:c>
      <x:c r="D53" s="24" t="n">
        <x:v>46141</x:v>
      </x:c>
      <x:c r="E53" s="24" t="n">
        <x:v>46171</x:v>
      </x:c>
      <x:c r="F53" s="26" t="n">
        <x:v>1312.5</x:v>
      </x:c>
      <x:c r="G53" t="str">
        <x:v>Approved</x:v>
      </x:c>
      <x:c r="H53" t="str">
        <x:v>Yes</x:v>
      </x:c>
      <x:c r="I53" s="24" t="n">
        <x:v>46161</x:v>
      </x:c>
      <x:c r="J53" t="str">
        <x:v>M-2451</x:v>
      </x:c>
      <x:c r="K53" t="str">
        <x:v>Outside Services</x:v>
      </x:c>
      <x:c r="L53" s="12" t="str">
        <x:f>IF(COUNTIF($A$2:$A$73,A53)&gt;1,"DUPLICATE","")</x:f>
      </x:c>
      <x:c r="M53" s="12" t="str">
        <x:f>IF(G53&lt;&gt;"Approved","MISSING APPROVAL","")</x:f>
      </x:c>
      <x:c r="N53" s="12" t="str">
        <x:f>IF(AND(H53&lt;&gt;"Yes",E53&lt;DATE(2026,7,1)),"OVERDUE","")</x:f>
      </x:c>
      <x:c r="O53" s="12" t="str">
        <x:f>IF(COUNTIF('Vendor Master'!$A$2:$A$9,B53)=0,"INVALID VENDOR","")</x:f>
      </x:c>
      <x:c r="P53" s="12" t="n">
        <x:f>IF(L53&lt;&gt;"",1,0)+IF(M53&lt;&gt;"",1,0)+IF(N53&lt;&gt;"",1,0)+IF(O53&lt;&gt;"",1,0)</x:f>
        <x:v>0</x:v>
      </x:c>
      <x:c r="Q53" s="12" t="str">
        <x:f>IF(P53=0,"CLEAR","REVIEW")</x:f>
        <x:v>CLEAR</x:v>
      </x:c>
    </x:row>
    <x:row r="54">
      <x:c r="A54" t="str">
        <x:v>INV-1053</x:v>
      </x:c>
      <x:c r="B54" t="str">
        <x:v>V005</x:v>
      </x:c>
      <x:c r="C54" t="str">
        <x:v>Bluebird Property Mgmt</x:v>
      </x:c>
      <x:c r="D54" s="24" t="n">
        <x:v>46145</x:v>
      </x:c>
      <x:c r="E54" s="24" t="n">
        <x:v>46175</x:v>
      </x:c>
      <x:c r="F54" s="26" t="n">
        <x:v>2088</x:v>
      </x:c>
      <x:c r="G54" t="str">
        <x:v>Approved</x:v>
      </x:c>
      <x:c r="H54" t="str">
        <x:v>No</x:v>
      </x:c>
      <x:c r="I54" s="24"/>
      <x:c r="J54" t="str">
        <x:v>M-2452</x:v>
      </x:c>
      <x:c r="K54" t="str">
        <x:v>Rent &amp; Facilities</x:v>
      </x:c>
      <x:c r="L54" s="12" t="str">
        <x:f>IF(COUNTIF($A$2:$A$73,A54)&gt;1,"DUPLICATE","")</x:f>
      </x:c>
      <x:c r="M54" s="12" t="str">
        <x:f>IF(G54&lt;&gt;"Approved","MISSING APPROVAL","")</x:f>
      </x:c>
      <x:c r="N54" s="12" t="str">
        <x:f>IF(AND(H54&lt;&gt;"Yes",E54&lt;DATE(2026,7,1)),"OVERDUE","")</x:f>
        <x:v>OVERDUE</x:v>
      </x:c>
      <x:c r="O54" s="12" t="str">
        <x:f>IF(COUNTIF('Vendor Master'!$A$2:$A$9,B54)=0,"INVALID VENDOR","")</x:f>
      </x:c>
      <x:c r="P54" s="12" t="n">
        <x:f>IF(L54&lt;&gt;"",1,0)+IF(M54&lt;&gt;"",1,0)+IF(N54&lt;&gt;"",1,0)+IF(O54&lt;&gt;"",1,0)</x:f>
        <x:v>1</x:v>
      </x:c>
      <x:c r="Q54" s="12" t="str">
        <x:f>IF(P54=0,"CLEAR","REVIEW")</x:f>
        <x:v>REVIEW</x:v>
      </x:c>
    </x:row>
    <x:row r="55">
      <x:c r="A55" t="str">
        <x:v>INV-1054</x:v>
      </x:c>
      <x:c r="B55" t="str">
        <x:v>V006</x:v>
      </x:c>
      <x:c r="C55" t="str">
        <x:v>Atlantic Travel Desk</x:v>
      </x:c>
      <x:c r="D55" s="24" t="n">
        <x:v>46149</x:v>
      </x:c>
      <x:c r="E55" s="24" t="n">
        <x:v>46164</x:v>
      </x:c>
      <x:c r="F55" s="26" t="n">
        <x:v>3744</x:v>
      </x:c>
      <x:c r="G55" t="str">
        <x:v>Approved</x:v>
      </x:c>
      <x:c r="H55" t="str">
        <x:v>No</x:v>
      </x:c>
      <x:c r="I55" s="24"/>
      <x:c r="J55" t="str">
        <x:v>M-2453</x:v>
      </x:c>
      <x:c r="K55" t="str">
        <x:v>Travel</x:v>
      </x:c>
      <x:c r="L55" s="12" t="str">
        <x:f>IF(COUNTIF($A$2:$A$73,A55)&gt;1,"DUPLICATE","")</x:f>
      </x:c>
      <x:c r="M55" s="12" t="str">
        <x:f>IF(G55&lt;&gt;"Approved","MISSING APPROVAL","")</x:f>
      </x:c>
      <x:c r="N55" s="12" t="str">
        <x:f>IF(AND(H55&lt;&gt;"Yes",E55&lt;DATE(2026,7,1)),"OVERDUE","")</x:f>
        <x:v>OVERDUE</x:v>
      </x:c>
      <x:c r="O55" s="12" t="str">
        <x:f>IF(COUNTIF('Vendor Master'!$A$2:$A$9,B55)=0,"INVALID VENDOR","")</x:f>
      </x:c>
      <x:c r="P55" s="12" t="n">
        <x:f>IF(L55&lt;&gt;"",1,0)+IF(M55&lt;&gt;"",1,0)+IF(N55&lt;&gt;"",1,0)+IF(O55&lt;&gt;"",1,0)</x:f>
        <x:v>1</x:v>
      </x:c>
      <x:c r="Q55" s="12" t="str">
        <x:f>IF(P55=0,"CLEAR","REVIEW")</x:f>
        <x:v>REVIEW</x:v>
      </x:c>
    </x:row>
    <x:row r="56">
      <x:c r="A56" t="str">
        <x:v>INV-1055</x:v>
      </x:c>
      <x:c r="B56" t="str">
        <x:v>V007</x:v>
      </x:c>
      <x:c r="C56" t="str">
        <x:v>Evergreen Records</x:v>
      </x:c>
      <x:c r="D56" s="24" t="n">
        <x:v>46153</x:v>
      </x:c>
      <x:c r="E56" s="24" t="n">
        <x:v>46183</x:v>
      </x:c>
      <x:c r="F56" s="26" t="n">
        <x:v>4515</x:v>
      </x:c>
      <x:c r="G56" t="str">
        <x:v>Approved</x:v>
      </x:c>
      <x:c r="H56" t="str">
        <x:v>No</x:v>
      </x:c>
      <x:c r="I56" s="24"/>
      <x:c r="J56" t="str">
        <x:v>M-2454</x:v>
      </x:c>
      <x:c r="K56" t="str">
        <x:v>Records &amp; Storage</x:v>
      </x:c>
      <x:c r="L56" s="12" t="str">
        <x:f>IF(COUNTIF($A$2:$A$73,A56)&gt;1,"DUPLICATE","")</x:f>
      </x:c>
      <x:c r="M56" s="12" t="str">
        <x:f>IF(G56&lt;&gt;"Approved","MISSING APPROVAL","")</x:f>
      </x:c>
      <x:c r="N56" s="12" t="str">
        <x:f>IF(AND(H56&lt;&gt;"Yes",E56&lt;DATE(2026,7,1)),"OVERDUE","")</x:f>
        <x:v>OVERDUE</x:v>
      </x:c>
      <x:c r="O56" s="12" t="str">
        <x:f>IF(COUNTIF('Vendor Master'!$A$2:$A$9,B56)=0,"INVALID VENDOR","")</x:f>
      </x:c>
      <x:c r="P56" s="12" t="n">
        <x:f>IF(L56&lt;&gt;"",1,0)+IF(M56&lt;&gt;"",1,0)+IF(N56&lt;&gt;"",1,0)+IF(O56&lt;&gt;"",1,0)</x:f>
        <x:v>1</x:v>
      </x:c>
      <x:c r="Q56" s="12" t="str">
        <x:f>IF(P56=0,"CLEAR","REVIEW")</x:f>
        <x:v>REVIEW</x:v>
      </x:c>
    </x:row>
    <x:row r="57">
      <x:c r="A57" t="str">
        <x:v>INV-1056</x:v>
      </x:c>
      <x:c r="B57" t="str">
        <x:v>V008</x:v>
      </x:c>
      <x:c r="C57" t="str">
        <x:v>Civic Print House</x:v>
      </x:c>
      <x:c r="D57" s="24" t="n">
        <x:v>46157</x:v>
      </x:c>
      <x:c r="E57" s="24" t="n">
        <x:v>46187</x:v>
      </x:c>
      <x:c r="F57" s="26" t="n">
        <x:v>7004</x:v>
      </x:c>
      <x:c r="G57" t="str">
        <x:v>Approved</x:v>
      </x:c>
      <x:c r="H57" t="str">
        <x:v>No</x:v>
      </x:c>
      <x:c r="I57" s="24"/>
      <x:c r="J57" t="str">
        <x:v>M-2455</x:v>
      </x:c>
      <x:c r="K57" t="str">
        <x:v>Printing &amp; Copying</x:v>
      </x:c>
      <x:c r="L57" s="12" t="str">
        <x:f>IF(COUNTIF($A$2:$A$73,A57)&gt;1,"DUPLICATE","")</x:f>
      </x:c>
      <x:c r="M57" s="12" t="str">
        <x:f>IF(G57&lt;&gt;"Approved","MISSING APPROVAL","")</x:f>
      </x:c>
      <x:c r="N57" s="12" t="str">
        <x:f>IF(AND(H57&lt;&gt;"Yes",E57&lt;DATE(2026,7,1)),"OVERDUE","")</x:f>
        <x:v>OVERDUE</x:v>
      </x:c>
      <x:c r="O57" s="12" t="str">
        <x:f>IF(COUNTIF('Vendor Master'!$A$2:$A$9,B57)=0,"INVALID VENDOR","")</x:f>
      </x:c>
      <x:c r="P57" s="12" t="n">
        <x:f>IF(L57&lt;&gt;"",1,0)+IF(M57&lt;&gt;"",1,0)+IF(N57&lt;&gt;"",1,0)+IF(O57&lt;&gt;"",1,0)</x:f>
        <x:v>1</x:v>
      </x:c>
      <x:c r="Q57" s="12" t="str">
        <x:f>IF(P57=0,"CLEAR","REVIEW")</x:f>
        <x:v>REVIEW</x:v>
      </x:c>
    </x:row>
    <x:row r="58">
      <x:c r="A58" t="str">
        <x:v>INV-1057</x:v>
      </x:c>
      <x:c r="B58" t="str">
        <x:v>V001</x:v>
      </x:c>
      <x:c r="C58" t="str">
        <x:v>Lexis Research Services</x:v>
      </x:c>
      <x:c r="D58" s="24" t="n">
        <x:v>46161</x:v>
      </x:c>
      <x:c r="E58" s="24" t="n">
        <x:v>46191</x:v>
      </x:c>
      <x:c r="F58" s="26" t="n">
        <x:v>157.25</x:v>
      </x:c>
      <x:c r="G58" t="str">
        <x:v>Approved</x:v>
      </x:c>
      <x:c r="H58" t="str">
        <x:v>No</x:v>
      </x:c>
      <x:c r="I58" s="24"/>
      <x:c r="J58" t="str">
        <x:v>M-2456</x:v>
      </x:c>
      <x:c r="K58" t="str">
        <x:v>Research &amp; Subscriptions</x:v>
      </x:c>
      <x:c r="L58" s="12" t="str">
        <x:f>IF(COUNTIF($A$2:$A$73,A58)&gt;1,"DUPLICATE","")</x:f>
      </x:c>
      <x:c r="M58" s="12" t="str">
        <x:f>IF(G58&lt;&gt;"Approved","MISSING APPROVAL","")</x:f>
      </x:c>
      <x:c r="N58" s="12" t="str">
        <x:f>IF(AND(H58&lt;&gt;"Yes",E58&lt;DATE(2026,7,1)),"OVERDUE","")</x:f>
        <x:v>OVERDUE</x:v>
      </x:c>
      <x:c r="O58" s="12" t="str">
        <x:f>IF(COUNTIF('Vendor Master'!$A$2:$A$9,B58)=0,"INVALID VENDOR","")</x:f>
      </x:c>
      <x:c r="P58" s="12" t="n">
        <x:f>IF(L58&lt;&gt;"",1,0)+IF(M58&lt;&gt;"",1,0)+IF(N58&lt;&gt;"",1,0)+IF(O58&lt;&gt;"",1,0)</x:f>
        <x:v>1</x:v>
      </x:c>
      <x:c r="Q58" s="12" t="str">
        <x:f>IF(P58=0,"CLEAR","REVIEW")</x:f>
        <x:v>REVIEW</x:v>
      </x:c>
    </x:row>
    <x:row r="59">
      <x:c r="A59" t="str">
        <x:v>INV-1058</x:v>
      </x:c>
      <x:c r="B59" t="str">
        <x:v>V002</x:v>
      </x:c>
      <x:c r="C59" t="str">
        <x:v>Capitol Office Supply</x:v>
      </x:c>
      <x:c r="D59" s="24" t="n">
        <x:v>46165</x:v>
      </x:c>
      <x:c r="E59" s="24" t="n">
        <x:v>46195</x:v>
      </x:c>
      <x:c r="F59" s="26" t="n">
        <x:v>428.4</x:v>
      </x:c>
      <x:c r="G59" t="str">
        <x:v>Pending</x:v>
      </x:c>
      <x:c r="H59" t="str">
        <x:v>No</x:v>
      </x:c>
      <x:c r="I59" s="24"/>
      <x:c r="J59" t="str">
        <x:v>M-2457</x:v>
      </x:c>
      <x:c r="K59" t="str">
        <x:v>Office Supplies</x:v>
      </x:c>
      <x:c r="L59" s="12" t="str">
        <x:f>IF(COUNTIF($A$2:$A$73,A59)&gt;1,"DUPLICATE","")</x:f>
      </x:c>
      <x:c r="M59" s="12" t="str">
        <x:f>IF(G59&lt;&gt;"Approved","MISSING APPROVAL","")</x:f>
        <x:v>MISSING APPROVAL</x:v>
      </x:c>
      <x:c r="N59" s="12" t="str">
        <x:f>IF(AND(H59&lt;&gt;"Yes",E59&lt;DATE(2026,7,1)),"OVERDUE","")</x:f>
        <x:v>OVERDUE</x:v>
      </x:c>
      <x:c r="O59" s="12" t="str">
        <x:f>IF(COUNTIF('Vendor Master'!$A$2:$A$9,B59)=0,"INVALID VENDOR","")</x:f>
      </x:c>
      <x:c r="P59" s="12" t="n">
        <x:f>IF(L59&lt;&gt;"",1,0)+IF(M59&lt;&gt;"",1,0)+IF(N59&lt;&gt;"",1,0)+IF(O59&lt;&gt;"",1,0)</x:f>
        <x:v>2</x:v>
      </x:c>
      <x:c r="Q59" s="12" t="str">
        <x:f>IF(P59=0,"CLEAR","REVIEW")</x:f>
        <x:v>REVIEW</x:v>
      </x:c>
    </x:row>
    <x:row r="60">
      <x:c r="A60" t="str">
        <x:v>INV-1059</x:v>
      </x:c>
      <x:c r="B60" t="str">
        <x:v>V003</x:v>
      </x:c>
      <x:c r="C60" t="str">
        <x:v>Harbor IT Solutions</x:v>
      </x:c>
      <x:c r="D60" s="24" t="n">
        <x:v>46169</x:v>
      </x:c>
      <x:c r="E60" s="24" t="n">
        <x:v>46184</x:v>
      </x:c>
      <x:c r="F60" s="26" t="n">
        <x:v>651</x:v>
      </x:c>
      <x:c r="G60" t="str">
        <x:v>Approved</x:v>
      </x:c>
      <x:c r="H60" t="str">
        <x:v>No</x:v>
      </x:c>
      <x:c r="I60" s="24"/>
      <x:c r="J60" t="str">
        <x:v>M-2458</x:v>
      </x:c>
      <x:c r="K60" t="str">
        <x:v>IT &amp; Software</x:v>
      </x:c>
      <x:c r="L60" s="12" t="str">
        <x:f>IF(COUNTIF($A$2:$A$73,A60)&gt;1,"DUPLICATE","")</x:f>
      </x:c>
      <x:c r="M60" s="12" t="str">
        <x:f>IF(G60&lt;&gt;"Approved","MISSING APPROVAL","")</x:f>
      </x:c>
      <x:c r="N60" s="12" t="str">
        <x:f>IF(AND(H60&lt;&gt;"Yes",E60&lt;DATE(2026,7,1)),"OVERDUE","")</x:f>
        <x:v>OVERDUE</x:v>
      </x:c>
      <x:c r="O60" s="12" t="str">
        <x:f>IF(COUNTIF('Vendor Master'!$A$2:$A$9,B60)=0,"INVALID VENDOR","")</x:f>
      </x:c>
      <x:c r="P60" s="12" t="n">
        <x:f>IF(L60&lt;&gt;"",1,0)+IF(M60&lt;&gt;"",1,0)+IF(N60&lt;&gt;"",1,0)+IF(O60&lt;&gt;"",1,0)</x:f>
        <x:v>1</x:v>
      </x:c>
      <x:c r="Q60" s="12" t="str">
        <x:f>IF(P60=0,"CLEAR","REVIEW")</x:f>
        <x:v>REVIEW</x:v>
      </x:c>
    </x:row>
    <x:row r="61">
      <x:c r="A61" t="str">
        <x:v>INV-1060</x:v>
      </x:c>
      <x:c r="B61" t="str">
        <x:v>V004</x:v>
      </x:c>
      <x:c r="C61" t="str">
        <x:v>Metro Court Reporting</x:v>
      </x:c>
      <x:c r="D61" s="24" t="n">
        <x:v>46173</x:v>
      </x:c>
      <x:c r="E61" s="24" t="n">
        <x:v>46203</x:v>
      </x:c>
      <x:c r="F61" s="26" t="n">
        <x:v>1262.5</x:v>
      </x:c>
      <x:c r="G61" t="str">
        <x:v>Approved</x:v>
      </x:c>
      <x:c r="H61" t="str">
        <x:v>No</x:v>
      </x:c>
      <x:c r="I61" s="24"/>
      <x:c r="J61" t="str">
        <x:v>M-2459</x:v>
      </x:c>
      <x:c r="K61" t="str">
        <x:v>Outside Services</x:v>
      </x:c>
      <x:c r="L61" s="12" t="str">
        <x:f>IF(COUNTIF($A$2:$A$73,A61)&gt;1,"DUPLICATE","")</x:f>
      </x:c>
      <x:c r="M61" s="12" t="str">
        <x:f>IF(G61&lt;&gt;"Approved","MISSING APPROVAL","")</x:f>
      </x:c>
      <x:c r="N61" s="12" t="str">
        <x:f>IF(AND(H61&lt;&gt;"Yes",E61&lt;DATE(2026,7,1)),"OVERDUE","")</x:f>
        <x:v>OVERDUE</x:v>
      </x:c>
      <x:c r="O61" s="12" t="str">
        <x:f>IF(COUNTIF('Vendor Master'!$A$2:$A$9,B61)=0,"INVALID VENDOR","")</x:f>
      </x:c>
      <x:c r="P61" s="12" t="n">
        <x:f>IF(L61&lt;&gt;"",1,0)+IF(M61&lt;&gt;"",1,0)+IF(N61&lt;&gt;"",1,0)+IF(O61&lt;&gt;"",1,0)</x:f>
        <x:v>1</x:v>
      </x:c>
      <x:c r="Q61" s="12" t="str">
        <x:f>IF(P61=0,"CLEAR","REVIEW")</x:f>
        <x:v>REVIEW</x:v>
      </x:c>
    </x:row>
    <x:row r="62">
      <x:c r="A62" t="str">
        <x:v>INV-1061</x:v>
      </x:c>
      <x:c r="B62" t="str">
        <x:v>V005</x:v>
      </x:c>
      <x:c r="C62" t="str">
        <x:v>Bluebird Property Mgmt</x:v>
      </x:c>
      <x:c r="D62" s="24" t="n">
        <x:v>46177</x:v>
      </x:c>
      <x:c r="E62" s="24" t="n">
        <x:v>46207</x:v>
      </x:c>
      <x:c r="F62" s="26" t="n">
        <x:v>1992</x:v>
      </x:c>
      <x:c r="G62" t="str">
        <x:v>Approved</x:v>
      </x:c>
      <x:c r="H62" t="str">
        <x:v>No</x:v>
      </x:c>
      <x:c r="I62" s="24"/>
      <x:c r="J62" t="str">
        <x:v>M-2460</x:v>
      </x:c>
      <x:c r="K62" t="str">
        <x:v>Rent &amp; Facilities</x:v>
      </x:c>
      <x:c r="L62" s="12" t="str">
        <x:f>IF(COUNTIF($A$2:$A$73,A62)&gt;1,"DUPLICATE","")</x:f>
      </x:c>
      <x:c r="M62" s="12" t="str">
        <x:f>IF(G62&lt;&gt;"Approved","MISSING APPROVAL","")</x:f>
      </x:c>
      <x:c r="N62" s="12" t="str">
        <x:f>IF(AND(H62&lt;&gt;"Yes",E62&lt;DATE(2026,7,1)),"OVERDUE","")</x:f>
      </x:c>
      <x:c r="O62" s="12" t="str">
        <x:f>IF(COUNTIF('Vendor Master'!$A$2:$A$9,B62)=0,"INVALID VENDOR","")</x:f>
      </x:c>
      <x:c r="P62" s="12" t="n">
        <x:f>IF(L62&lt;&gt;"",1,0)+IF(M62&lt;&gt;"",1,0)+IF(N62&lt;&gt;"",1,0)+IF(O62&lt;&gt;"",1,0)</x:f>
        <x:v>0</x:v>
      </x:c>
      <x:c r="Q62" s="12" t="str">
        <x:f>IF(P62=0,"CLEAR","REVIEW")</x:f>
        <x:v>CLEAR</x:v>
      </x:c>
    </x:row>
    <x:row r="63">
      <x:c r="A63" t="str">
        <x:v>INV-1062</x:v>
      </x:c>
      <x:c r="B63" t="str">
        <x:v>V006</x:v>
      </x:c>
      <x:c r="C63" t="str">
        <x:v>Atlantic Travel Desk</x:v>
      </x:c>
      <x:c r="D63" s="24" t="n">
        <x:v>46181</x:v>
      </x:c>
      <x:c r="E63" s="24" t="n">
        <x:v>46196</x:v>
      </x:c>
      <x:c r="F63" s="26" t="n">
        <x:v>3600</x:v>
      </x:c>
      <x:c r="G63" t="str">
        <x:v>Approved</x:v>
      </x:c>
      <x:c r="H63" t="str">
        <x:v>No</x:v>
      </x:c>
      <x:c r="I63" s="24"/>
      <x:c r="J63" t="str">
        <x:v>M-2461</x:v>
      </x:c>
      <x:c r="K63" t="str">
        <x:v>Travel</x:v>
      </x:c>
      <x:c r="L63" s="12" t="str">
        <x:f>IF(COUNTIF($A$2:$A$73,A63)&gt;1,"DUPLICATE","")</x:f>
      </x:c>
      <x:c r="M63" s="12" t="str">
        <x:f>IF(G63&lt;&gt;"Approved","MISSING APPROVAL","")</x:f>
      </x:c>
      <x:c r="N63" s="12" t="str">
        <x:f>IF(AND(H63&lt;&gt;"Yes",E63&lt;DATE(2026,7,1)),"OVERDUE","")</x:f>
        <x:v>OVERDUE</x:v>
      </x:c>
      <x:c r="O63" s="12" t="str">
        <x:f>IF(COUNTIF('Vendor Master'!$A$2:$A$9,B63)=0,"INVALID VENDOR","")</x:f>
      </x:c>
      <x:c r="P63" s="12" t="n">
        <x:f>IF(L63&lt;&gt;"",1,0)+IF(M63&lt;&gt;"",1,0)+IF(N63&lt;&gt;"",1,0)+IF(O63&lt;&gt;"",1,0)</x:f>
        <x:v>1</x:v>
      </x:c>
      <x:c r="Q63" s="12" t="str">
        <x:f>IF(P63=0,"CLEAR","REVIEW")</x:f>
        <x:v>REVIEW</x:v>
      </x:c>
    </x:row>
    <x:row r="64">
      <x:c r="A64" t="str">
        <x:v>INV-1063</x:v>
      </x:c>
      <x:c r="B64" t="str">
        <x:v>V007</x:v>
      </x:c>
      <x:c r="C64" t="str">
        <x:v>Evergreen Records</x:v>
      </x:c>
      <x:c r="D64" s="24" t="n">
        <x:v>46185</x:v>
      </x:c>
      <x:c r="E64" s="24" t="n">
        <x:v>46215</x:v>
      </x:c>
      <x:c r="F64" s="26" t="n">
        <x:v>4305</x:v>
      </x:c>
      <x:c r="G64" t="str">
        <x:v>Approved</x:v>
      </x:c>
      <x:c r="H64" t="str">
        <x:v>No</x:v>
      </x:c>
      <x:c r="I64" s="24"/>
      <x:c r="J64" t="str">
        <x:v>M-2462</x:v>
      </x:c>
      <x:c r="K64" t="str">
        <x:v>Records &amp; Storage</x:v>
      </x:c>
      <x:c r="L64" s="12" t="str">
        <x:f>IF(COUNTIF($A$2:$A$73,A64)&gt;1,"DUPLICATE","")</x:f>
      </x:c>
      <x:c r="M64" s="12" t="str">
        <x:f>IF(G64&lt;&gt;"Approved","MISSING APPROVAL","")</x:f>
      </x:c>
      <x:c r="N64" s="12" t="str">
        <x:f>IF(AND(H64&lt;&gt;"Yes",E64&lt;DATE(2026,7,1)),"OVERDUE","")</x:f>
      </x:c>
      <x:c r="O64" s="12" t="str">
        <x:f>IF(COUNTIF('Vendor Master'!$A$2:$A$9,B64)=0,"INVALID VENDOR","")</x:f>
      </x:c>
      <x:c r="P64" s="12" t="n">
        <x:f>IF(L64&lt;&gt;"",1,0)+IF(M64&lt;&gt;"",1,0)+IF(N64&lt;&gt;"",1,0)+IF(O64&lt;&gt;"",1,0)</x:f>
        <x:v>0</x:v>
      </x:c>
      <x:c r="Q64" s="12" t="str">
        <x:f>IF(P64=0,"CLEAR","REVIEW")</x:f>
        <x:v>CLEAR</x:v>
      </x:c>
    </x:row>
    <x:row r="65">
      <x:c r="A65" t="str">
        <x:v>INV-1064</x:v>
      </x:c>
      <x:c r="B65" t="str">
        <x:v>V008</x:v>
      </x:c>
      <x:c r="C65" t="str">
        <x:v>Civic Print House</x:v>
      </x:c>
      <x:c r="D65" s="24" t="n">
        <x:v>46189</x:v>
      </x:c>
      <x:c r="E65" s="24" t="n">
        <x:v>46219</x:v>
      </x:c>
      <x:c r="F65" s="26" t="n">
        <x:v>6732</x:v>
      </x:c>
      <x:c r="G65" t="str">
        <x:v>Approved</x:v>
      </x:c>
      <x:c r="H65" t="str">
        <x:v>No</x:v>
      </x:c>
      <x:c r="I65" s="24"/>
      <x:c r="J65" t="str">
        <x:v>M-2463</x:v>
      </x:c>
      <x:c r="K65" t="str">
        <x:v>Printing &amp; Copying</x:v>
      </x:c>
      <x:c r="L65" s="12" t="str">
        <x:f>IF(COUNTIF($A$2:$A$73,A65)&gt;1,"DUPLICATE","")</x:f>
      </x:c>
      <x:c r="M65" s="12" t="str">
        <x:f>IF(G65&lt;&gt;"Approved","MISSING APPROVAL","")</x:f>
      </x:c>
      <x:c r="N65" s="12" t="str">
        <x:f>IF(AND(H65&lt;&gt;"Yes",E65&lt;DATE(2026,7,1)),"OVERDUE","")</x:f>
      </x:c>
      <x:c r="O65" s="12" t="str">
        <x:f>IF(COUNTIF('Vendor Master'!$A$2:$A$9,B65)=0,"INVALID VENDOR","")</x:f>
      </x:c>
      <x:c r="P65" s="12" t="n">
        <x:f>IF(L65&lt;&gt;"",1,0)+IF(M65&lt;&gt;"",1,0)+IF(N65&lt;&gt;"",1,0)+IF(O65&lt;&gt;"",1,0)</x:f>
        <x:v>0</x:v>
      </x:c>
      <x:c r="Q65" s="12" t="str">
        <x:f>IF(P65=0,"CLEAR","REVIEW")</x:f>
        <x:v>CLEAR</x:v>
      </x:c>
    </x:row>
    <x:row r="66">
      <x:c r="A66" t="str">
        <x:v>INV-1065</x:v>
      </x:c>
      <x:c r="B66" t="str">
        <x:v>V001</x:v>
      </x:c>
      <x:c r="C66" t="str">
        <x:v>Lexis Research Services</x:v>
      </x:c>
      <x:c r="D66" s="24" t="n">
        <x:v>46193</x:v>
      </x:c>
      <x:c r="E66" s="24" t="n">
        <x:v>46223</x:v>
      </x:c>
      <x:c r="F66" s="26" t="n">
        <x:v>149.85</x:v>
      </x:c>
      <x:c r="G66" t="str">
        <x:v>Approved</x:v>
      </x:c>
      <x:c r="H66" t="str">
        <x:v>No</x:v>
      </x:c>
      <x:c r="I66" s="24"/>
      <x:c r="J66" t="str">
        <x:v>M-2464</x:v>
      </x:c>
      <x:c r="K66" t="str">
        <x:v>Research &amp; Subscriptions</x:v>
      </x:c>
      <x:c r="L66" s="12" t="str">
        <x:f>IF(COUNTIF($A$2:$A$73,A66)&gt;1,"DUPLICATE","")</x:f>
      </x:c>
      <x:c r="M66" s="12" t="str">
        <x:f>IF(G66&lt;&gt;"Approved","MISSING APPROVAL","")</x:f>
      </x:c>
      <x:c r="N66" s="12" t="str">
        <x:f>IF(AND(H66&lt;&gt;"Yes",E66&lt;DATE(2026,7,1)),"OVERDUE","")</x:f>
      </x:c>
      <x:c r="O66" s="12" t="str">
        <x:f>IF(COUNTIF('Vendor Master'!$A$2:$A$9,B66)=0,"INVALID VENDOR","")</x:f>
      </x:c>
      <x:c r="P66" s="12" t="n">
        <x:f>IF(L66&lt;&gt;"",1,0)+IF(M66&lt;&gt;"",1,0)+IF(N66&lt;&gt;"",1,0)+IF(O66&lt;&gt;"",1,0)</x:f>
        <x:v>0</x:v>
      </x:c>
      <x:c r="Q66" s="12" t="str">
        <x:f>IF(P66=0,"CLEAR","REVIEW")</x:f>
        <x:v>CLEAR</x:v>
      </x:c>
    </x:row>
    <x:row r="67">
      <x:c r="A67" t="str">
        <x:v>INV-1066</x:v>
      </x:c>
      <x:c r="B67" t="str">
        <x:v>V002</x:v>
      </x:c>
      <x:c r="C67" t="str">
        <x:v>Capitol Office Supply</x:v>
      </x:c>
      <x:c r="D67" s="24" t="n">
        <x:v>46197</x:v>
      </x:c>
      <x:c r="E67" s="24" t="n">
        <x:v>46227</x:v>
      </x:c>
      <x:c r="F67" s="26" t="n">
        <x:v>411.6</x:v>
      </x:c>
      <x:c r="G67" t="str">
        <x:v>Approved</x:v>
      </x:c>
      <x:c r="H67" t="str">
        <x:v>No</x:v>
      </x:c>
      <x:c r="I67" s="24"/>
      <x:c r="J67" t="str">
        <x:v>M-2465</x:v>
      </x:c>
      <x:c r="K67" t="str">
        <x:v>Office Supplies</x:v>
      </x:c>
      <x:c r="L67" s="12" t="str">
        <x:f>IF(COUNTIF($A$2:$A$73,A67)&gt;1,"DUPLICATE","")</x:f>
      </x:c>
      <x:c r="M67" s="12" t="str">
        <x:f>IF(G67&lt;&gt;"Approved","MISSING APPROVAL","")</x:f>
      </x:c>
      <x:c r="N67" s="12" t="str">
        <x:f>IF(AND(H67&lt;&gt;"Yes",E67&lt;DATE(2026,7,1)),"OVERDUE","")</x:f>
      </x:c>
      <x:c r="O67" s="12" t="str">
        <x:f>IF(COUNTIF('Vendor Master'!$A$2:$A$9,B67)=0,"INVALID VENDOR","")</x:f>
      </x:c>
      <x:c r="P67" s="12" t="n">
        <x:f>IF(L67&lt;&gt;"",1,0)+IF(M67&lt;&gt;"",1,0)+IF(N67&lt;&gt;"",1,0)+IF(O67&lt;&gt;"",1,0)</x:f>
        <x:v>0</x:v>
      </x:c>
      <x:c r="Q67" s="12" t="str">
        <x:f>IF(P67=0,"CLEAR","REVIEW")</x:f>
        <x:v>CLEAR</x:v>
      </x:c>
    </x:row>
    <x:row r="68">
      <x:c r="A68" t="str">
        <x:v>INV-1067</x:v>
      </x:c>
      <x:c r="B68" t="str">
        <x:v>V003</x:v>
      </x:c>
      <x:c r="C68" t="str">
        <x:v>Harbor IT Solutions</x:v>
      </x:c>
      <x:c r="D68" s="24" t="n">
        <x:v>46113</x:v>
      </x:c>
      <x:c r="E68" s="24" t="n">
        <x:v>46128</x:v>
      </x:c>
      <x:c r="F68" s="26" t="n">
        <x:v>620</x:v>
      </x:c>
      <x:c r="G68" t="str">
        <x:v>Approved</x:v>
      </x:c>
      <x:c r="H68" t="str">
        <x:v>No</x:v>
      </x:c>
      <x:c r="I68" s="24"/>
      <x:c r="J68" t="str">
        <x:v>M-2466</x:v>
      </x:c>
      <x:c r="K68" t="str">
        <x:v>IT &amp; Software</x:v>
      </x:c>
      <x:c r="L68" s="12" t="str">
        <x:f>IF(COUNTIF($A$2:$A$73,A68)&gt;1,"DUPLICATE","")</x:f>
      </x:c>
      <x:c r="M68" s="12" t="str">
        <x:f>IF(G68&lt;&gt;"Approved","MISSING APPROVAL","")</x:f>
      </x:c>
      <x:c r="N68" s="12" t="str">
        <x:f>IF(AND(H68&lt;&gt;"Yes",E68&lt;DATE(2026,7,1)),"OVERDUE","")</x:f>
        <x:v>OVERDUE</x:v>
      </x:c>
      <x:c r="O68" s="12" t="str">
        <x:f>IF(COUNTIF('Vendor Master'!$A$2:$A$9,B68)=0,"INVALID VENDOR","")</x:f>
      </x:c>
      <x:c r="P68" s="12" t="n">
        <x:f>IF(L68&lt;&gt;"",1,0)+IF(M68&lt;&gt;"",1,0)+IF(N68&lt;&gt;"",1,0)+IF(O68&lt;&gt;"",1,0)</x:f>
        <x:v>1</x:v>
      </x:c>
      <x:c r="Q68" s="12" t="str">
        <x:f>IF(P68=0,"CLEAR","REVIEW")</x:f>
        <x:v>REVIEW</x:v>
      </x:c>
    </x:row>
    <x:row r="69">
      <x:c r="A69" t="str">
        <x:v>INV-1068</x:v>
      </x:c>
      <x:c r="B69" t="str">
        <x:v>V004</x:v>
      </x:c>
      <x:c r="C69" t="str">
        <x:v>Metro Court Reporting</x:v>
      </x:c>
      <x:c r="D69" s="24" t="n">
        <x:v>46117</x:v>
      </x:c>
      <x:c r="E69" s="24" t="n">
        <x:v>46147</x:v>
      </x:c>
      <x:c r="F69" s="26" t="n">
        <x:v>1212.5</x:v>
      </x:c>
      <x:c r="G69" t="str">
        <x:v>Approved</x:v>
      </x:c>
      <x:c r="H69" t="str">
        <x:v>No</x:v>
      </x:c>
      <x:c r="I69" s="24"/>
      <x:c r="J69" t="str">
        <x:v>M-2467</x:v>
      </x:c>
      <x:c r="K69" t="str">
        <x:v>Outside Services</x:v>
      </x:c>
      <x:c r="L69" s="12" t="str">
        <x:f>IF(COUNTIF($A$2:$A$73,A69)&gt;1,"DUPLICATE","")</x:f>
      </x:c>
      <x:c r="M69" s="12" t="str">
        <x:f>IF(G69&lt;&gt;"Approved","MISSING APPROVAL","")</x:f>
      </x:c>
      <x:c r="N69" s="12" t="str">
        <x:f>IF(AND(H69&lt;&gt;"Yes",E69&lt;DATE(2026,7,1)),"OVERDUE","")</x:f>
        <x:v>OVERDUE</x:v>
      </x:c>
      <x:c r="O69" s="12" t="str">
        <x:f>IF(COUNTIF('Vendor Master'!$A$2:$A$9,B69)=0,"INVALID VENDOR","")</x:f>
      </x:c>
      <x:c r="P69" s="12" t="n">
        <x:f>IF(L69&lt;&gt;"",1,0)+IF(M69&lt;&gt;"",1,0)+IF(N69&lt;&gt;"",1,0)+IF(O69&lt;&gt;"",1,0)</x:f>
        <x:v>1</x:v>
      </x:c>
      <x:c r="Q69" s="12" t="str">
        <x:f>IF(P69=0,"CLEAR","REVIEW")</x:f>
        <x:v>REVIEW</x:v>
      </x:c>
    </x:row>
    <x:row r="70">
      <x:c r="A70" t="str">
        <x:v>INV-1069</x:v>
      </x:c>
      <x:c r="B70" t="str">
        <x:v>V005</x:v>
      </x:c>
      <x:c r="C70" t="str">
        <x:v>Bluebird Property Mgmt</x:v>
      </x:c>
      <x:c r="D70" s="24" t="n">
        <x:v>46121</x:v>
      </x:c>
      <x:c r="E70" s="24" t="n">
        <x:v>46151</x:v>
      </x:c>
      <x:c r="F70" s="26" t="n">
        <x:v>1896</x:v>
      </x:c>
      <x:c r="G70" t="str">
        <x:v>Approved</x:v>
      </x:c>
      <x:c r="H70" t="str">
        <x:v>No</x:v>
      </x:c>
      <x:c r="I70" s="24"/>
      <x:c r="J70" t="str">
        <x:v>M-2468</x:v>
      </x:c>
      <x:c r="K70" t="str">
        <x:v>Rent &amp; Facilities</x:v>
      </x:c>
      <x:c r="L70" s="12" t="str">
        <x:f>IF(COUNTIF($A$2:$A$73,A70)&gt;1,"DUPLICATE","")</x:f>
      </x:c>
      <x:c r="M70" s="12" t="str">
        <x:f>IF(G70&lt;&gt;"Approved","MISSING APPROVAL","")</x:f>
      </x:c>
      <x:c r="N70" s="12" t="str">
        <x:f>IF(AND(H70&lt;&gt;"Yes",E70&lt;DATE(2026,7,1)),"OVERDUE","")</x:f>
        <x:v>OVERDUE</x:v>
      </x:c>
      <x:c r="O70" s="12" t="str">
        <x:f>IF(COUNTIF('Vendor Master'!$A$2:$A$9,B70)=0,"INVALID VENDOR","")</x:f>
      </x:c>
      <x:c r="P70" s="12" t="n">
        <x:f>IF(L70&lt;&gt;"",1,0)+IF(M70&lt;&gt;"",1,0)+IF(N70&lt;&gt;"",1,0)+IF(O70&lt;&gt;"",1,0)</x:f>
        <x:v>1</x:v>
      </x:c>
      <x:c r="Q70" s="12" t="str">
        <x:f>IF(P70=0,"CLEAR","REVIEW")</x:f>
        <x:v>REVIEW</x:v>
      </x:c>
    </x:row>
    <x:row r="71">
      <x:c r="A71" t="str">
        <x:v>INV-1070</x:v>
      </x:c>
      <x:c r="B71" t="str">
        <x:v>V006</x:v>
      </x:c>
      <x:c r="C71" t="str">
        <x:v>Atlantic Travel Desk</x:v>
      </x:c>
      <x:c r="D71" s="24" t="n">
        <x:v>46125</x:v>
      </x:c>
      <x:c r="E71" s="24" t="n">
        <x:v>46140</x:v>
      </x:c>
      <x:c r="F71" s="26" t="n">
        <x:v>3456</x:v>
      </x:c>
      <x:c r="G71" t="str">
        <x:v>Approved</x:v>
      </x:c>
      <x:c r="H71" t="str">
        <x:v>No</x:v>
      </x:c>
      <x:c r="I71" s="24"/>
      <x:c r="J71" t="str">
        <x:v>M-2469</x:v>
      </x:c>
      <x:c r="K71" t="str">
        <x:v>Travel</x:v>
      </x:c>
      <x:c r="L71" s="12" t="str">
        <x:f>IF(COUNTIF($A$2:$A$73,A71)&gt;1,"DUPLICATE","")</x:f>
      </x:c>
      <x:c r="M71" s="12" t="str">
        <x:f>IF(G71&lt;&gt;"Approved","MISSING APPROVAL","")</x:f>
      </x:c>
      <x:c r="N71" s="12" t="str">
        <x:f>IF(AND(H71&lt;&gt;"Yes",E71&lt;DATE(2026,7,1)),"OVERDUE","")</x:f>
        <x:v>OVERDUE</x:v>
      </x:c>
      <x:c r="O71" s="12" t="str">
        <x:f>IF(COUNTIF('Vendor Master'!$A$2:$A$9,B71)=0,"INVALID VENDOR","")</x:f>
      </x:c>
      <x:c r="P71" s="12" t="n">
        <x:f>IF(L71&lt;&gt;"",1,0)+IF(M71&lt;&gt;"",1,0)+IF(N71&lt;&gt;"",1,0)+IF(O71&lt;&gt;"",1,0)</x:f>
        <x:v>1</x:v>
      </x:c>
      <x:c r="Q71" s="12" t="str">
        <x:f>IF(P71=0,"CLEAR","REVIEW")</x:f>
        <x:v>REVIEW</x:v>
      </x:c>
    </x:row>
    <x:row r="72">
      <x:c r="A72" t="str">
        <x:v>INV-1071</x:v>
      </x:c>
      <x:c r="B72" t="str">
        <x:v>V007</x:v>
      </x:c>
      <x:c r="C72" t="str">
        <x:v>Evergreen Records</x:v>
      </x:c>
      <x:c r="D72" s="24" t="n">
        <x:v>46129</x:v>
      </x:c>
      <x:c r="E72" s="24" t="n">
        <x:v>46159</x:v>
      </x:c>
      <x:c r="F72" s="26" t="n">
        <x:v>4095</x:v>
      </x:c>
      <x:c r="G72" t="str">
        <x:v>Approved</x:v>
      </x:c>
      <x:c r="H72" t="str">
        <x:v>No</x:v>
      </x:c>
      <x:c r="I72" s="24"/>
      <x:c r="J72" t="str">
        <x:v>M-2470</x:v>
      </x:c>
      <x:c r="K72" t="str">
        <x:v>Records &amp; Storage</x:v>
      </x:c>
      <x:c r="L72" s="12" t="str">
        <x:f>IF(COUNTIF($A$2:$A$73,A72)&gt;1,"DUPLICATE","")</x:f>
      </x:c>
      <x:c r="M72" s="12" t="str">
        <x:f>IF(G72&lt;&gt;"Approved","MISSING APPROVAL","")</x:f>
      </x:c>
      <x:c r="N72" s="12" t="str">
        <x:f>IF(AND(H72&lt;&gt;"Yes",E72&lt;DATE(2026,7,1)),"OVERDUE","")</x:f>
        <x:v>OVERDUE</x:v>
      </x:c>
      <x:c r="O72" s="12" t="str">
        <x:f>IF(COUNTIF('Vendor Master'!$A$2:$A$9,B72)=0,"INVALID VENDOR","")</x:f>
      </x:c>
      <x:c r="P72" s="12" t="n">
        <x:f>IF(L72&lt;&gt;"",1,0)+IF(M72&lt;&gt;"",1,0)+IF(N72&lt;&gt;"",1,0)+IF(O72&lt;&gt;"",1,0)</x:f>
        <x:v>1</x:v>
      </x:c>
      <x:c r="Q72" s="12" t="str">
        <x:f>IF(P72=0,"CLEAR","REVIEW")</x:f>
        <x:v>REVIEW</x:v>
      </x:c>
    </x:row>
    <x:row r="73">
      <x:c r="A73" t="str">
        <x:v>INV-1072</x:v>
      </x:c>
      <x:c r="B73" t="str">
        <x:v>V008</x:v>
      </x:c>
      <x:c r="C73" t="str">
        <x:v>Civic Print House</x:v>
      </x:c>
      <x:c r="D73" s="24" t="n">
        <x:v>46133</x:v>
      </x:c>
      <x:c r="E73" s="24" t="n">
        <x:v>46163</x:v>
      </x:c>
      <x:c r="F73" s="26" t="n">
        <x:v>6460</x:v>
      </x:c>
      <x:c r="G73" t="str">
        <x:v>Approved</x:v>
      </x:c>
      <x:c r="H73" t="str">
        <x:v>No</x:v>
      </x:c>
      <x:c r="I73" s="24"/>
      <x:c r="J73" t="str">
        <x:v>M-2471</x:v>
      </x:c>
      <x:c r="K73" t="str">
        <x:v>Printing &amp; Copying</x:v>
      </x:c>
      <x:c r="L73" s="12" t="str">
        <x:f>IF(COUNTIF($A$2:$A$73,A73)&gt;1,"DUPLICATE","")</x:f>
      </x:c>
      <x:c r="M73" s="12" t="str">
        <x:f>IF(G73&lt;&gt;"Approved","MISSING APPROVAL","")</x:f>
      </x:c>
      <x:c r="N73" s="12" t="str">
        <x:f>IF(AND(H73&lt;&gt;"Yes",E73&lt;DATE(2026,7,1)),"OVERDUE","")</x:f>
        <x:v>OVERDUE</x:v>
      </x:c>
      <x:c r="O73" s="12" t="str">
        <x:f>IF(COUNTIF('Vendor Master'!$A$2:$A$9,B73)=0,"INVALID VENDOR","")</x:f>
      </x:c>
      <x:c r="P73" s="12" t="n">
        <x:f>IF(L73&lt;&gt;"",1,0)+IF(M73&lt;&gt;"",1,0)+IF(N73&lt;&gt;"",1,0)+IF(O73&lt;&gt;"",1,0)</x:f>
        <x:v>1</x:v>
      </x:c>
      <x:c r="Q73" s="12" t="str">
        <x:f>IF(P73=0,"CLEAR","REVIEW")</x:f>
        <x:v>REVIEW</x:v>
      </x:c>
    </x:row>
  </x:sheetData>
  <x:conditionalFormatting sqref="Q2:Q73">
    <x:cfRule type="expression" dxfId="0" priority="1">
      <x:formula>Q2="REVIEW"</x:formula>
    </x:cfRule>
    <x:cfRule type="expression" dxfId="1" priority="2">
      <x:formula>Q2="CLEAR"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28" customHeight="1">
      <x:c r="A1" s="4" t="str">
        <x:v>Accounts Payable Aging as of June 30, 2026</x:v>
      </x:c>
    </x:row>
    <x:row r="3" ht="26" customHeight="1">
      <x:c r="A3" s="18" t="str">
        <x:v>Vendor</x:v>
      </x:c>
      <x:c r="B3" s="18" t="str">
        <x:v>Current</x:v>
      </x:c>
      <x:c r="C3" s="18" t="str">
        <x:v>1–30 Days</x:v>
      </x:c>
      <x:c r="D3" s="18" t="str">
        <x:v>31–60 Days</x:v>
      </x:c>
      <x:c r="E3" s="18" t="str">
        <x:v>61+ Days</x:v>
      </x:c>
      <x:c r="F3" s="18" t="str">
        <x:v>Total Outstanding</x:v>
      </x:c>
      <x:c r="G3" s="18" t="str">
        <x:v>Invoice Count</x:v>
      </x:c>
    </x:row>
    <x:row r="4">
      <x:c r="A4" t="str">
        <x:v>Lexis Research Services</x:v>
      </x:c>
      <x:c r="B4" s="26" t="n">
        <x:f>SUMIFS('Invoice Register'!$F$2:$F$73,'Invoice Register'!$C$2:$C$73,A4,'Invoice Register'!$H$2:$H$73,"No",'Invoice Register'!$E$2:$E$73,"&gt;="&amp;DATE(2026,7,1))</x:f>
        <x:v>149.85</x:v>
      </x:c>
      <x:c r="C4" s="26" t="n">
        <x:f>SUMIFS('Invoice Register'!$F$2:$F$73,'Invoice Register'!$C$2:$C$73,A4,'Invoice Register'!$H$2:$H$73,"No",'Invoice Register'!$E$2:$E$73,"&gt;="&amp;DATE(2026,6,1),'Invoice Register'!$E$2:$E$73,"&lt;"&amp;DATE(2026,7,1))</x:f>
        <x:v>358.9</x:v>
      </x:c>
      <x:c r="D4" s="26" t="n">
        <x:f>SUMIFS('Invoice Register'!$F$2:$F$73,'Invoice Register'!$C$2:$C$73,A4,'Invoice Register'!$H$2:$H$73,"No",'Invoice Register'!$E$2:$E$73,"&gt;="&amp;DATE(2026,5,1),'Invoice Register'!$E$2:$E$73,"&lt;"&amp;DATE(2026,6,1))</x:f>
        <x:v>0</x:v>
      </x:c>
      <x:c r="E4" s="26" t="n">
        <x:f>SUMIFS('Invoice Register'!$F$2:$F$73,'Invoice Register'!$C$2:$C$73,A4,'Invoice Register'!$H$2:$H$73,"No",'Invoice Register'!$E$2:$E$73,"&lt;"&amp;DATE(2026,5,1))</x:f>
        <x:v>0</x:v>
      </x:c>
      <x:c r="F4" s="26" t="n">
        <x:f>SUM(B4:E4)</x:f>
        <x:v>508.75</x:v>
      </x:c>
      <x:c r="G4" s="33" t="n">
        <x:f>COUNTIFS('Invoice Register'!$C$2:$C$73,A4,'Invoice Register'!$H$2:$H$73,"No")</x:f>
        <x:v>3</x:v>
      </x:c>
    </x:row>
    <x:row r="5">
      <x:c r="A5" t="str">
        <x:v>Capitol Office Supply</x:v>
      </x:c>
      <x:c r="B5" s="26" t="n">
        <x:f>SUMIFS('Invoice Register'!$F$2:$F$73,'Invoice Register'!$C$2:$C$73,A5,'Invoice Register'!$H$2:$H$73,"No",'Invoice Register'!$E$2:$E$73,"&gt;="&amp;DATE(2026,7,1))</x:f>
        <x:v>873.6</x:v>
      </x:c>
      <x:c r="C5" s="26" t="n">
        <x:f>SUMIFS('Invoice Register'!$F$2:$F$73,'Invoice Register'!$C$2:$C$73,A5,'Invoice Register'!$H$2:$H$73,"No",'Invoice Register'!$E$2:$E$73,"&gt;="&amp;DATE(2026,6,1),'Invoice Register'!$E$2:$E$73,"&lt;"&amp;DATE(2026,7,1))</x:f>
        <x:v>428.4</x:v>
      </x:c>
      <x:c r="D5" s="26" t="n">
        <x:f>SUMIFS('Invoice Register'!$F$2:$F$73,'Invoice Register'!$C$2:$C$73,A5,'Invoice Register'!$H$2:$H$73,"No",'Invoice Register'!$E$2:$E$73,"&gt;="&amp;DATE(2026,5,1),'Invoice Register'!$E$2:$E$73,"&lt;"&amp;DATE(2026,6,1))</x:f>
        <x:v>0</x:v>
      </x:c>
      <x:c r="E5" s="26" t="n">
        <x:f>SUMIFS('Invoice Register'!$F$2:$F$73,'Invoice Register'!$C$2:$C$73,A5,'Invoice Register'!$H$2:$H$73,"No",'Invoice Register'!$E$2:$E$73,"&lt;"&amp;DATE(2026,5,1))</x:f>
        <x:v>0</x:v>
      </x:c>
      <x:c r="F5" s="26" t="n">
        <x:f>SUM(B5:E5)</x:f>
        <x:v>1302</x:v>
      </x:c>
      <x:c r="G5" s="33" t="n">
        <x:f>COUNTIFS('Invoice Register'!$C$2:$C$73,A5,'Invoice Register'!$H$2:$H$73,"No")</x:f>
        <x:v>3</x:v>
      </x:c>
    </x:row>
    <x:row r="6">
      <x:c r="A6" t="str">
        <x:v>Harbor IT Solutions</x:v>
      </x:c>
      <x:c r="B6" s="26" t="n">
        <x:f>SUMIFS('Invoice Register'!$F$2:$F$73,'Invoice Register'!$C$2:$C$73,A6,'Invoice Register'!$H$2:$H$73,"No",'Invoice Register'!$E$2:$E$73,"&gt;="&amp;DATE(2026,7,1))</x:f>
        <x:v>0</x:v>
      </x:c>
      <x:c r="C6" s="26" t="n">
        <x:f>SUMIFS('Invoice Register'!$F$2:$F$73,'Invoice Register'!$C$2:$C$73,A6,'Invoice Register'!$H$2:$H$73,"No",'Invoice Register'!$E$2:$E$73,"&gt;="&amp;DATE(2026,6,1),'Invoice Register'!$E$2:$E$73,"&lt;"&amp;DATE(2026,7,1))</x:f>
        <x:v>651</x:v>
      </x:c>
      <x:c r="D6" s="26" t="n">
        <x:f>SUMIFS('Invoice Register'!$F$2:$F$73,'Invoice Register'!$C$2:$C$73,A6,'Invoice Register'!$H$2:$H$73,"No",'Invoice Register'!$E$2:$E$73,"&gt;="&amp;DATE(2026,5,1),'Invoice Register'!$E$2:$E$73,"&lt;"&amp;DATE(2026,6,1))</x:f>
        <x:v>0</x:v>
      </x:c>
      <x:c r="E6" s="26" t="n">
        <x:f>SUMIFS('Invoice Register'!$F$2:$F$73,'Invoice Register'!$C$2:$C$73,A6,'Invoice Register'!$H$2:$H$73,"No",'Invoice Register'!$E$2:$E$73,"&lt;"&amp;DATE(2026,5,1))</x:f>
        <x:v>620</x:v>
      </x:c>
      <x:c r="F6" s="26" t="n">
        <x:f>SUM(B6:E6)</x:f>
        <x:v>1271</x:v>
      </x:c>
      <x:c r="G6" s="33" t="n">
        <x:f>COUNTIFS('Invoice Register'!$C$2:$C$73,A6,'Invoice Register'!$H$2:$H$73,"No")</x:f>
        <x:v>2</x:v>
      </x:c>
    </x:row>
    <x:row r="7">
      <x:c r="A7" t="str">
        <x:v>Metro Court Reporting</x:v>
      </x:c>
      <x:c r="B7" s="26" t="n">
        <x:f>SUMIFS('Invoice Register'!$F$2:$F$73,'Invoice Register'!$C$2:$C$73,A7,'Invoice Register'!$H$2:$H$73,"No",'Invoice Register'!$E$2:$E$73,"&gt;="&amp;DATE(2026,7,1))</x:f>
        <x:v>1075</x:v>
      </x:c>
      <x:c r="C7" s="26" t="n">
        <x:f>SUMIFS('Invoice Register'!$F$2:$F$73,'Invoice Register'!$C$2:$C$73,A7,'Invoice Register'!$H$2:$H$73,"No",'Invoice Register'!$E$2:$E$73,"&gt;="&amp;DATE(2026,6,1),'Invoice Register'!$E$2:$E$73,"&lt;"&amp;DATE(2026,7,1))</x:f>
        <x:v>1262.5</x:v>
      </x:c>
      <x:c r="D7" s="26" t="n">
        <x:f>SUMIFS('Invoice Register'!$F$2:$F$73,'Invoice Register'!$C$2:$C$73,A7,'Invoice Register'!$H$2:$H$73,"No",'Invoice Register'!$E$2:$E$73,"&gt;="&amp;DATE(2026,5,1),'Invoice Register'!$E$2:$E$73,"&lt;"&amp;DATE(2026,6,1))</x:f>
        <x:v>1212.5</x:v>
      </x:c>
      <x:c r="E7" s="26" t="n">
        <x:f>SUMIFS('Invoice Register'!$F$2:$F$73,'Invoice Register'!$C$2:$C$73,A7,'Invoice Register'!$H$2:$H$73,"No",'Invoice Register'!$E$2:$E$73,"&lt;"&amp;DATE(2026,5,1))</x:f>
        <x:v>0</x:v>
      </x:c>
      <x:c r="F7" s="26" t="n">
        <x:f>SUM(B7:E7)</x:f>
        <x:v>3550</x:v>
      </x:c>
      <x:c r="G7" s="33" t="n">
        <x:f>COUNTIFS('Invoice Register'!$C$2:$C$73,A7,'Invoice Register'!$H$2:$H$73,"No")</x:f>
        <x:v>3</x:v>
      </x:c>
    </x:row>
    <x:row r="8">
      <x:c r="A8" t="str">
        <x:v>Bluebird Property Mgmt</x:v>
      </x:c>
      <x:c r="B8" s="26" t="n">
        <x:f>SUMIFS('Invoice Register'!$F$2:$F$73,'Invoice Register'!$C$2:$C$73,A8,'Invoice Register'!$H$2:$H$73,"No",'Invoice Register'!$E$2:$E$73,"&gt;="&amp;DATE(2026,7,1))</x:f>
        <x:v>1992</x:v>
      </x:c>
      <x:c r="C8" s="26" t="n">
        <x:f>SUMIFS('Invoice Register'!$F$2:$F$73,'Invoice Register'!$C$2:$C$73,A8,'Invoice Register'!$H$2:$H$73,"No",'Invoice Register'!$E$2:$E$73,"&gt;="&amp;DATE(2026,6,1),'Invoice Register'!$E$2:$E$73,"&lt;"&amp;DATE(2026,7,1))</x:f>
        <x:v>2088</x:v>
      </x:c>
      <x:c r="D8" s="26" t="n">
        <x:f>SUMIFS('Invoice Register'!$F$2:$F$73,'Invoice Register'!$C$2:$C$73,A8,'Invoice Register'!$H$2:$H$73,"No",'Invoice Register'!$E$2:$E$73,"&gt;="&amp;DATE(2026,5,1),'Invoice Register'!$E$2:$E$73,"&lt;"&amp;DATE(2026,6,1))</x:f>
        <x:v>1896</x:v>
      </x:c>
      <x:c r="E8" s="26" t="n">
        <x:f>SUMIFS('Invoice Register'!$F$2:$F$73,'Invoice Register'!$C$2:$C$73,A8,'Invoice Register'!$H$2:$H$73,"No",'Invoice Register'!$E$2:$E$73,"&lt;"&amp;DATE(2026,5,1))</x:f>
        <x:v>0</x:v>
      </x:c>
      <x:c r="F8" s="26" t="n">
        <x:f>SUM(B8:E8)</x:f>
        <x:v>5976</x:v>
      </x:c>
      <x:c r="G8" s="33" t="n">
        <x:f>COUNTIFS('Invoice Register'!$C$2:$C$73,A8,'Invoice Register'!$H$2:$H$73,"No")</x:f>
        <x:v>3</x:v>
      </x:c>
    </x:row>
    <x:row r="9">
      <x:c r="A9" t="str">
        <x:v>Atlantic Travel Desk</x:v>
      </x:c>
      <x:c r="B9" s="26" t="n">
        <x:f>SUMIFS('Invoice Register'!$F$2:$F$73,'Invoice Register'!$C$2:$C$73,A9,'Invoice Register'!$H$2:$H$73,"No",'Invoice Register'!$E$2:$E$73,"&gt;="&amp;DATE(2026,7,1))</x:f>
        <x:v>0</x:v>
      </x:c>
      <x:c r="C9" s="26" t="n">
        <x:f>SUMIFS('Invoice Register'!$F$2:$F$73,'Invoice Register'!$C$2:$C$73,A9,'Invoice Register'!$H$2:$H$73,"No",'Invoice Register'!$E$2:$E$73,"&gt;="&amp;DATE(2026,6,1),'Invoice Register'!$E$2:$E$73,"&lt;"&amp;DATE(2026,7,1))</x:f>
        <x:v>3600</x:v>
      </x:c>
      <x:c r="D9" s="26" t="n">
        <x:f>SUMIFS('Invoice Register'!$F$2:$F$73,'Invoice Register'!$C$2:$C$73,A9,'Invoice Register'!$H$2:$H$73,"No",'Invoice Register'!$E$2:$E$73,"&gt;="&amp;DATE(2026,5,1),'Invoice Register'!$E$2:$E$73,"&lt;"&amp;DATE(2026,6,1))</x:f>
        <x:v>3744</x:v>
      </x:c>
      <x:c r="E9" s="26" t="n">
        <x:f>SUMIFS('Invoice Register'!$F$2:$F$73,'Invoice Register'!$C$2:$C$73,A9,'Invoice Register'!$H$2:$H$73,"No",'Invoice Register'!$E$2:$E$73,"&lt;"&amp;DATE(2026,5,1))</x:f>
        <x:v>3456</x:v>
      </x:c>
      <x:c r="F9" s="26" t="n">
        <x:f>SUM(B9:E9)</x:f>
        <x:v>10800</x:v>
      </x:c>
      <x:c r="G9" s="33" t="n">
        <x:f>COUNTIFS('Invoice Register'!$C$2:$C$73,A9,'Invoice Register'!$H$2:$H$73,"No")</x:f>
        <x:v>3</x:v>
      </x:c>
    </x:row>
    <x:row r="10">
      <x:c r="A10" t="str">
        <x:v>Evergreen Records</x:v>
      </x:c>
      <x:c r="B10" s="26" t="n">
        <x:f>SUMIFS('Invoice Register'!$F$2:$F$73,'Invoice Register'!$C$2:$C$73,A10,'Invoice Register'!$H$2:$H$73,"No",'Invoice Register'!$E$2:$E$73,"&gt;="&amp;DATE(2026,7,1))</x:f>
        <x:v>4305</x:v>
      </x:c>
      <x:c r="C10" s="26" t="n">
        <x:f>SUMIFS('Invoice Register'!$F$2:$F$73,'Invoice Register'!$C$2:$C$73,A10,'Invoice Register'!$H$2:$H$73,"No",'Invoice Register'!$E$2:$E$73,"&gt;="&amp;DATE(2026,6,1),'Invoice Register'!$E$2:$E$73,"&lt;"&amp;DATE(2026,7,1))</x:f>
        <x:v>4515</x:v>
      </x:c>
      <x:c r="D10" s="26" t="n">
        <x:f>SUMIFS('Invoice Register'!$F$2:$F$73,'Invoice Register'!$C$2:$C$73,A10,'Invoice Register'!$H$2:$H$73,"No",'Invoice Register'!$E$2:$E$73,"&gt;="&amp;DATE(2026,5,1),'Invoice Register'!$E$2:$E$73,"&lt;"&amp;DATE(2026,6,1))</x:f>
        <x:v>4095</x:v>
      </x:c>
      <x:c r="E10" s="26" t="n">
        <x:f>SUMIFS('Invoice Register'!$F$2:$F$73,'Invoice Register'!$C$2:$C$73,A10,'Invoice Register'!$H$2:$H$73,"No",'Invoice Register'!$E$2:$E$73,"&lt;"&amp;DATE(2026,5,1))</x:f>
        <x:v>0</x:v>
      </x:c>
      <x:c r="F10" s="26" t="n">
        <x:f>SUM(B10:E10)</x:f>
        <x:v>12915</x:v>
      </x:c>
      <x:c r="G10" s="33" t="n">
        <x:f>COUNTIFS('Invoice Register'!$C$2:$C$73,A10,'Invoice Register'!$H$2:$H$73,"No")</x:f>
        <x:v>3</x:v>
      </x:c>
    </x:row>
    <x:row r="11">
      <x:c r="A11" t="str">
        <x:v>Civic Print House</x:v>
      </x:c>
      <x:c r="B11" s="26" t="n">
        <x:f>SUMIFS('Invoice Register'!$F$2:$F$73,'Invoice Register'!$C$2:$C$73,A11,'Invoice Register'!$H$2:$H$73,"No",'Invoice Register'!$E$2:$E$73,"&gt;="&amp;DATE(2026,7,1))</x:f>
        <x:v>6732</x:v>
      </x:c>
      <x:c r="C11" s="26" t="n">
        <x:f>SUMIFS('Invoice Register'!$F$2:$F$73,'Invoice Register'!$C$2:$C$73,A11,'Invoice Register'!$H$2:$H$73,"No",'Invoice Register'!$E$2:$E$73,"&gt;="&amp;DATE(2026,6,1),'Invoice Register'!$E$2:$E$73,"&lt;"&amp;DATE(2026,7,1))</x:f>
        <x:v>7004</x:v>
      </x:c>
      <x:c r="D11" s="26" t="n">
        <x:f>SUMIFS('Invoice Register'!$F$2:$F$73,'Invoice Register'!$C$2:$C$73,A11,'Invoice Register'!$H$2:$H$73,"No",'Invoice Register'!$E$2:$E$73,"&gt;="&amp;DATE(2026,5,1),'Invoice Register'!$E$2:$E$73,"&lt;"&amp;DATE(2026,6,1))</x:f>
        <x:v>6460</x:v>
      </x:c>
      <x:c r="E11" s="26" t="n">
        <x:f>SUMIFS('Invoice Register'!$F$2:$F$73,'Invoice Register'!$C$2:$C$73,A11,'Invoice Register'!$H$2:$H$73,"No",'Invoice Register'!$E$2:$E$73,"&lt;"&amp;DATE(2026,5,1))</x:f>
        <x:v>0</x:v>
      </x:c>
      <x:c r="F11" s="26" t="n">
        <x:f>SUM(B11:E11)</x:f>
        <x:v>20196</x:v>
      </x:c>
      <x:c r="G11" s="33" t="n">
        <x:f>COUNTIFS('Invoice Register'!$C$2:$C$73,A11,'Invoice Register'!$H$2:$H$73,"No")</x:f>
        <x:v>3</x:v>
      </x:c>
    </x:row>
    <x:row r="12">
      <x:c r="A12" s="28" t="str">
        <x:v>TOTAL</x:v>
      </x:c>
      <x:c r="B12" s="30" t="n">
        <x:f>SUM(B4:B11)</x:f>
        <x:v>15127.45</x:v>
      </x:c>
      <x:c r="C12" s="30" t="n">
        <x:f>SUM(C4:C11)</x:f>
        <x:v>19907.8</x:v>
      </x:c>
      <x:c r="D12" s="30" t="n">
        <x:f>SUM(D4:D11)</x:f>
        <x:v>17407.5</x:v>
      </x:c>
      <x:c r="E12" s="30" t="n">
        <x:f>SUM(E4:E11)</x:f>
        <x:v>4076</x:v>
      </x:c>
      <x:c r="F12" s="30" t="n">
        <x:f>SUM(F4:F11)</x:f>
        <x:v>56518.75</x:v>
      </x:c>
      <x:c r="G12" s="34" t="n">
        <x:f>SUM(G4:G11)</x:f>
        <x:v>23</x:v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28" customHeight="1">
      <x:c r="A1" s="4" t="str">
        <x:v>Vendor Statement Reconciliation</x:v>
      </x:c>
      <x:c r="F1" s="12"/>
      <x:c r="G1" s="12"/>
    </x:row>
    <x:row r="3" ht="26" customHeight="1">
      <x:c r="A3" s="18" t="str">
        <x:v>Vendor</x:v>
      </x:c>
      <x:c r="B3" s="18" t="str">
        <x:v>AP Ledger Balance</x:v>
      </x:c>
      <x:c r="C3" s="18" t="str">
        <x:v>Vendor Statement</x:v>
      </x:c>
      <x:c r="D3" s="18" t="str">
        <x:v>Difference</x:v>
      </x:c>
      <x:c r="E3" s="18" t="str">
        <x:v>Recon Status</x:v>
      </x:c>
      <x:c r="F3" s="18" t="str">
        <x:v>Investigation Note</x:v>
      </x:c>
      <x:c r="G3" s="18" t="str">
        <x:v>Resolution</x:v>
      </x:c>
    </x:row>
    <x:row r="4">
      <x:c r="A4" t="str">
        <x:v>Lexis Research Services</x:v>
      </x:c>
      <x:c r="B4" s="26" t="n">
        <x:f>SUMIFS('Invoice Register'!$F$2:$F$73,'Invoice Register'!$C$2:$C$73,A4,'Invoice Register'!$H$2:$H$73,"No")</x:f>
        <x:v>508.75</x:v>
      </x:c>
      <x:c r="C4" s="26" t="n">
        <x:f>B4</x:f>
        <x:v>508.75</x:v>
      </x:c>
      <x:c r="D4" s="26" t="n">
        <x:f>C4-B4</x:f>
        <x:v>0</x:v>
      </x:c>
      <x:c r="E4" t="str">
        <x:f>IF(ABS(D4)&lt;0.01,"MATCH","INVESTIGATE")</x:f>
        <x:v>MATCH</x:v>
      </x:c>
      <x:c r="F4" t="str"/>
      <x:c r="G4" t="str">
        <x:v>No action required</x:v>
      </x:c>
    </x:row>
    <x:row r="5">
      <x:c r="A5" t="str">
        <x:v>Capitol Office Supply</x:v>
      </x:c>
      <x:c r="B5" s="26" t="n">
        <x:f>SUMIFS('Invoice Register'!$F$2:$F$73,'Invoice Register'!$C$2:$C$73,A5,'Invoice Register'!$H$2:$H$73,"No")</x:f>
        <x:v>1302</x:v>
      </x:c>
      <x:c r="C5" s="26" t="n">
        <x:f>B5</x:f>
        <x:v>1302</x:v>
      </x:c>
      <x:c r="D5" s="26" t="n">
        <x:f>C5-B5</x:f>
        <x:v>0</x:v>
      </x:c>
      <x:c r="E5" t="str">
        <x:f>IF(ABS(D5)&lt;0.01,"MATCH","INVESTIGATE")</x:f>
        <x:v>MATCH</x:v>
      </x:c>
      <x:c r="F5" t="str"/>
      <x:c r="G5" t="str">
        <x:v>No action required</x:v>
      </x:c>
    </x:row>
    <x:row r="6">
      <x:c r="A6" t="str">
        <x:v>Harbor IT Solutions</x:v>
      </x:c>
      <x:c r="B6" s="26" t="n">
        <x:f>SUMIFS('Invoice Register'!$F$2:$F$73,'Invoice Register'!$C$2:$C$73,A6,'Invoice Register'!$H$2:$H$73,"No")</x:f>
        <x:v>1271</x:v>
      </x:c>
      <x:c r="C6" s="26" t="n">
        <x:f>B6+125</x:f>
        <x:v>1396</x:v>
      </x:c>
      <x:c r="D6" s="26" t="n">
        <x:f>C6-B6</x:f>
        <x:v>125</x:v>
      </x:c>
      <x:c r="E6" t="str">
        <x:f>IF(ABS(D6)&lt;0.01,"MATCH","INVESTIGATE")</x:f>
        <x:v>INVESTIGATE</x:v>
      </x:c>
      <x:c r="F6" t="str">
        <x:v>Statement includes item not yet recorded</x:v>
      </x:c>
      <x:c r="G6" t="str">
        <x:v>Post after invoice validation</x:v>
      </x:c>
    </x:row>
    <x:row r="7">
      <x:c r="A7" t="str">
        <x:v>Metro Court Reporting</x:v>
      </x:c>
      <x:c r="B7" s="26" t="n">
        <x:f>SUMIFS('Invoice Register'!$F$2:$F$73,'Invoice Register'!$C$2:$C$73,A7,'Invoice Register'!$H$2:$H$73,"No")</x:f>
        <x:v>3550</x:v>
      </x:c>
      <x:c r="C7" s="26" t="n">
        <x:f>B7</x:f>
        <x:v>3550</x:v>
      </x:c>
      <x:c r="D7" s="26" t="n">
        <x:f>C7-B7</x:f>
        <x:v>0</x:v>
      </x:c>
      <x:c r="E7" t="str">
        <x:f>IF(ABS(D7)&lt;0.01,"MATCH","INVESTIGATE")</x:f>
        <x:v>MATCH</x:v>
      </x:c>
      <x:c r="F7" t="str"/>
      <x:c r="G7" t="str">
        <x:v>No action required</x:v>
      </x:c>
    </x:row>
    <x:row r="8">
      <x:c r="A8" t="str">
        <x:v>Bluebird Property Mgmt</x:v>
      </x:c>
      <x:c r="B8" s="26" t="n">
        <x:f>SUMIFS('Invoice Register'!$F$2:$F$73,'Invoice Register'!$C$2:$C$73,A8,'Invoice Register'!$H$2:$H$73,"No")</x:f>
        <x:v>5976</x:v>
      </x:c>
      <x:c r="C8" s="26" t="n">
        <x:f>B8</x:f>
        <x:v>5976</x:v>
      </x:c>
      <x:c r="D8" s="26" t="n">
        <x:f>C8-B8</x:f>
        <x:v>0</x:v>
      </x:c>
      <x:c r="E8" t="str">
        <x:f>IF(ABS(D8)&lt;0.01,"MATCH","INVESTIGATE")</x:f>
        <x:v>MATCH</x:v>
      </x:c>
      <x:c r="F8" t="str"/>
      <x:c r="G8" t="str">
        <x:v>No action required</x:v>
      </x:c>
    </x:row>
    <x:row r="9">
      <x:c r="A9" t="str">
        <x:v>Atlantic Travel Desk</x:v>
      </x:c>
      <x:c r="B9" s="26" t="n">
        <x:f>SUMIFS('Invoice Register'!$F$2:$F$73,'Invoice Register'!$C$2:$C$73,A9,'Invoice Register'!$H$2:$H$73,"No")</x:f>
        <x:v>10800</x:v>
      </x:c>
      <x:c r="C9" s="26" t="n">
        <x:f>B9</x:f>
        <x:v>10800</x:v>
      </x:c>
      <x:c r="D9" s="26" t="n">
        <x:f>C9-B9</x:f>
        <x:v>0</x:v>
      </x:c>
      <x:c r="E9" t="str">
        <x:f>IF(ABS(D9)&lt;0.01,"MATCH","INVESTIGATE")</x:f>
        <x:v>MATCH</x:v>
      </x:c>
      <x:c r="F9" t="str"/>
      <x:c r="G9" t="str">
        <x:v>No action required</x:v>
      </x:c>
    </x:row>
    <x:row r="10">
      <x:c r="A10" t="str">
        <x:v>Evergreen Records</x:v>
      </x:c>
      <x:c r="B10" s="26" t="n">
        <x:f>SUMIFS('Invoice Register'!$F$2:$F$73,'Invoice Register'!$C$2:$C$73,A10,'Invoice Register'!$H$2:$H$73,"No")</x:f>
        <x:v>12915</x:v>
      </x:c>
      <x:c r="C10" s="26" t="n">
        <x:f>B10+125</x:f>
        <x:v>13040</x:v>
      </x:c>
      <x:c r="D10" s="26" t="n">
        <x:f>C10-B10</x:f>
        <x:v>125</x:v>
      </x:c>
      <x:c r="E10" t="str">
        <x:f>IF(ABS(D10)&lt;0.01,"MATCH","INVESTIGATE")</x:f>
        <x:v>INVESTIGATE</x:v>
      </x:c>
      <x:c r="F10" t="str">
        <x:v>Statement includes item not yet recorded</x:v>
      </x:c>
      <x:c r="G10" t="str">
        <x:v>Post after invoice validation</x:v>
      </x:c>
    </x:row>
    <x:row r="11">
      <x:c r="A11" t="str">
        <x:v>Civic Print House</x:v>
      </x:c>
      <x:c r="B11" s="26" t="n">
        <x:f>SUMIFS('Invoice Register'!$F$2:$F$73,'Invoice Register'!$C$2:$C$73,A11,'Invoice Register'!$H$2:$H$73,"No")</x:f>
        <x:v>20196</x:v>
      </x:c>
      <x:c r="C11" s="26" t="n">
        <x:f>B11</x:f>
        <x:v>20196</x:v>
      </x:c>
      <x:c r="D11" s="26" t="n">
        <x:f>C11-B11</x:f>
        <x:v>0</x:v>
      </x:c>
      <x:c r="E11" t="str">
        <x:f>IF(ABS(D11)&lt;0.01,"MATCH","INVESTIGATE")</x:f>
        <x:v>MATCH</x:v>
      </x:c>
      <x:c r="F11" t="str"/>
      <x:c r="G11" t="str">
        <x:v>No action required</x:v>
      </x:c>
    </x:row>
  </x:sheetData>
  <x:mergeCells>
    <x:mergeCell ref="A1:G1"/>
  </x:mergeCells>
  <x:conditionalFormatting sqref="E4:E11">
    <x:cfRule type="expression" dxfId="2" priority="1">
      <x:formula>E4="INVESTIGATE"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.380000114440918" hidden="0" customWidth="1"/>
    <x:col min="3" max="3" width="13" hidden="0" customWidth="1"/>
    <x:col min="4" max="4" width="15.25" hidden="0" customWidth="1"/>
    <x:col min="5" max="5" width="12" hidden="0" customWidth="1"/>
    <x:col min="6" max="6" width="14.380000114440918" hidden="0" customWidth="1"/>
    <x:col min="7" max="7" width="7.130000114440918" hidden="0" customWidth="1"/>
    <x:col min="8" max="8" width="12.25" hidden="0" customWidth="1"/>
  </x:cols>
  <x:sheetData>
    <x:row r="1" ht="28" customHeight="1">
      <x:c r="A1" s="4" t="str">
        <x:v>Law Firm AP Operations Dashboard</x:v>
      </x:c>
    </x:row>
    <x:row r="3" ht="26" customHeight="1">
      <x:c r="A3" s="18" t="str">
        <x:v>Total Invoices</x:v>
      </x:c>
      <x:c r="B3" s="18" t="str">
        <x:v>Invoice Value</x:v>
      </x:c>
      <x:c r="C3" s="18" t="str">
        <x:v>Outstanding AP</x:v>
      </x:c>
      <x:c r="D3" s="18" t="str">
        <x:v>Invoices for Review</x:v>
      </x:c>
      <x:c r="E3" s="18" t="str">
        <x:v>Duplicate Flags</x:v>
      </x:c>
      <x:c r="F3" s="18" t="str">
        <x:v>Missing Approvals</x:v>
      </x:c>
      <x:c r="G3" s="18" t="str">
        <x:v>Overdue</x:v>
      </x:c>
      <x:c r="H3" s="18" t="str">
        <x:v>Invalid Vendors</x:v>
      </x:c>
    </x:row>
    <x:row r="4">
      <x:c r="A4" t="n">
        <x:f>COUNTA('Invoice Register'!A2:A73)</x:f>
        <x:v>72</x:v>
      </x:c>
      <x:c r="B4" s="26" t="n">
        <x:f>SUM('Invoice Register'!F2:F73)</x:f>
        <x:v>176940.5</x:v>
      </x:c>
      <x:c r="C4" s="26" t="n">
        <x:f>SUMIFS('Invoice Register'!F2:F73,'Invoice Register'!H2:H73,"No")</x:f>
        <x:v>56518.75</x:v>
      </x:c>
      <x:c r="D4" t="n">
        <x:f>COUNTIF('Invoice Register'!Q2:Q73,"REVIEW")</x:f>
        <x:v>21</x:v>
      </x:c>
      <x:c r="E4" t="n">
        <x:f>COUNTIF('Invoice Register'!L2:L73,"DUPLICATE")</x:f>
        <x:v>2</x:v>
      </x:c>
      <x:c r="F4" t="n">
        <x:f>COUNTIF('Invoice Register'!M2:M73,"MISSING APPROVAL")</x:f>
        <x:v>3</x:v>
      </x:c>
      <x:c r="G4" t="n">
        <x:f>COUNTIF('Invoice Register'!N2:N73,"OVERDUE")</x:f>
        <x:v>16</x:v>
      </x:c>
      <x:c r="H4" t="n">
        <x:f>COUNTIF('Invoice Register'!O2:O73,"INVALID VENDOR")</x:f>
        <x:v>1</x:v>
      </x:c>
    </x:row>
    <x:row r="7" ht="26" customHeight="1">
      <x:c r="A7" s="18" t="str">
        <x:v>Control Check</x:v>
      </x:c>
      <x:c r="B7" s="18" t="str">
        <x:v>Expected</x:v>
      </x:c>
      <x:c r="C7" s="18" t="str">
        <x:v>Status</x:v>
      </x:c>
    </x:row>
    <x:row r="8">
      <x:c r="A8" t="str">
        <x:v>Invoice count</x:v>
      </x:c>
      <x:c r="B8" t="n">
        <x:v>72</x:v>
      </x:c>
      <x:c r="C8" t="str">
        <x:f>IF(COUNTA('Invoice Register'!A2:A73)=B8,"PASS","CHECK")</x:f>
        <x:v>PASS</x:v>
      </x:c>
    </x:row>
    <x:row r="9">
      <x:c r="A9" t="str">
        <x:v>Negative invoice amounts</x:v>
      </x:c>
      <x:c r="B9" t="n">
        <x:v>0</x:v>
      </x:c>
      <x:c r="C9" t="str">
        <x:f>IF(COUNTIF('Invoice Register'!F2:F73,"&lt;0")=B9,"PASS","CHECK")</x:f>
        <x:v>PASS</x:v>
      </x:c>
    </x:row>
    <x:row r="10">
      <x:c r="A10" t="str">
        <x:v>Blank vendor names</x:v>
      </x:c>
      <x:c r="B10" t="n">
        <x:v>0</x:v>
      </x:c>
      <x:c r="C10" t="str">
        <x:f>IF(COUNTBLANK('Invoice Register'!C2:C73)=B10,"PASS","CHECK")</x:f>
        <x:v>PASS</x:v>
      </x:c>
    </x:row>
    <x:row r="11">
      <x:c r="A11" t="str">
        <x:v>Aging tie-out</x:v>
      </x:c>
      <x:c r="B11" t="n">
        <x:v>0</x:v>
      </x:c>
      <x:c r="C11" t="str">
        <x:f>IF(ABS('AP Aging'!F12-C4)&lt;0.01,"PASS","CHECK")</x:f>
        <x:v>PASS</x:v>
      </x:c>
    </x:row>
    <x:row r="13">
      <x:c r="A13" s="37" t="str">
        <x:v>Audit Check</x:v>
      </x:c>
      <x:c r="B13" s="37" t="str">
        <x:v>Ledger / Source</x:v>
      </x:c>
      <x:c r="C13" s="37" t="str">
        <x:v>Report / Control</x:v>
      </x:c>
      <x:c r="D13" s="37" t="str">
        <x:v>Status</x:v>
      </x:c>
    </x:row>
    <x:row r="14">
      <x:c r="A14" s="45" t="str">
        <x:v>Outstanding AP tie-out</x:v>
      </x:c>
      <x:c r="B14" s="46" t="n">
        <x:f>SUMIFS('Invoice Register'!$F$2:$F$73,'Invoice Register'!$H$2:$H$73,"No")</x:f>
        <x:v>56518.75</x:v>
      </x:c>
      <x:c r="C14" s="46" t="n">
        <x:f>SUM('AP Aging'!$F$4:$F$11)</x:f>
        <x:v>56518.75</x:v>
      </x:c>
      <x:c r="D14" s="45" t="str">
        <x:f>IF(ABS(B14-C14)&lt;0.01,"PASS","REVIEW")</x:f>
        <x:v>PASS</x:v>
      </x:c>
    </x:row>
    <x:row r="15">
      <x:c r="A15" s="47" t="str">
        <x:v>Invoice review count</x:v>
      </x:c>
      <x:c r="B15" s="48" t="n">
        <x:f>COUNTIF('Invoice Register'!$Q$2:$Q$73,"REVIEW")</x:f>
        <x:v>21</x:v>
      </x:c>
      <x:c r="C15" s="48" t="n">
        <x:f>D4</x:f>
        <x:v>21</x:v>
      </x:c>
      <x:c r="D15" s="47" t="str">
        <x:f>IF(B15=C15,"PASS","REVIEW")</x:f>
        <x:v>PASS</x:v>
      </x:c>
    </x:row>
    <x:row r="16">
      <x:c r="A16" s="47" t="str">
        <x:v>Vendor reconciliation differences</x:v>
      </x:c>
      <x:c r="B16" s="49" t="n">
        <x:f>SUM('Vendor Reconciliation'!$D$4:$D$11)</x:f>
        <x:v>250</x:v>
      </x:c>
      <x:c r="C16" s="49" t="n">
        <x:v>250</x:v>
      </x:c>
      <x:c r="D16" s="47" t="str">
        <x:f>IF(ABS(B16-C16)&lt;0.01,"PASS","REVIEW")</x:f>
        <x:v>PASS</x:v>
      </x:c>
    </x:row>
    <x:row r="17">
      <x:c r="A17" s="47" t="str">
        <x:v>Blank vendor names</x:v>
      </x:c>
      <x:c r="B17" s="48" t="n">
        <x:f>COUNTBLANK('Invoice Register'!$C$2:$C$73)</x:f>
        <x:v>0</x:v>
      </x:c>
      <x:c r="C17" s="48" t="n">
        <x:v>0</x:v>
      </x:c>
      <x:c r="D17" s="47" t="str">
        <x:f>IF(B17=C17,"PASS","REVIEW")</x:f>
        <x:v>PASS</x:v>
      </x:c>
    </x:row>
    <x:row r="18">
      <x:c r="A18" s="50" t="str">
        <x:v>Negative invoice amounts</x:v>
      </x:c>
      <x:c r="B18" s="51" t="n">
        <x:f>COUNTIF('Invoice Register'!$F$2:$F$73,"&lt;0")</x:f>
        <x:v>0</x:v>
      </x:c>
      <x:c r="C18" s="51" t="n">
        <x:v>0</x:v>
      </x:c>
      <x:c r="D18" s="50" t="str">
        <x:f>IF(B18=C18,"PASS","REVIEW")</x:f>
        <x:v>PASS</x:v>
      </x:c>
    </x:row>
  </x:sheetData>
  <x:mergeCells>
    <x:mergeCell ref="A1:H1"/>
  </x:mergeCells>
  <x:conditionalFormatting sqref="C8:C11">
    <x:cfRule type="expression" dxfId="3" priority="1">
      <x:formula>C8="PASS"</x:formula>
    </x:cfRule>
  </x:conditionalFormatting>
  <x:conditionalFormatting sqref="D14:D18">
    <x:cfRule type="expression" dxfId="4" priority="2">
      <x:formula>D14="PASS"</x:formula>
    </x:cfRule>
    <x:cfRule type="expression" dxfId="5" priority="3">
      <x:formula>D14="REVIEW"</x:formula>
    </x:cfRule>
  </x:conditionalFormatting>
  <x:pageMargins left="0.7" right="0.7" top="0.75" bottom="0.75" header="0.3" footer="0.3"/>
  <x:drawing xmlns:r="http://schemas.openxmlformats.org/officeDocument/2006/relationships" r:id="R9e0928c6b3914fa2"/>
</x:worksheet>
</file>